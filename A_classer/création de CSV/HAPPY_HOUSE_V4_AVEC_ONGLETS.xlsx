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TRIAGE MASTER" sheetId="2" r:id="rId2"/>
    <sheet name="RDV Julien" sheetId="3" r:id="rId3"/>
    <sheet name="Guide" sheetId="4" r:id="rId4"/>
    <sheet name="Suivi Appels" sheetId="5" r:id="rId5"/>
    <sheet name="Historique" sheetId="6" r:id="rId6"/>
    <sheet name="Logs" sheetId="7" r:id="rId7"/>
    <sheet name="SOURCES" sheetId="8" r:id="rId8"/>
    <sheet name="ARCHIVES" sheetId="9" r:id="rId9"/>
  </sheets>
  <calcPr calcId="124519" fullCalcOnLoad="1"/>
</workbook>
</file>

<file path=xl/sharedStrings.xml><?xml version="1.0" encoding="utf-8"?>
<sst xmlns="http://schemas.openxmlformats.org/spreadsheetml/2006/main" count="4234" uniqueCount="1085">
  <si>
    <t>KPI</t>
  </si>
  <si>
    <t>Valeur</t>
  </si>
  <si>
    <t>Total Clients</t>
  </si>
  <si>
    <t>Publiés</t>
  </si>
  <si>
    <t>A décider</t>
  </si>
  <si>
    <t>NO GO</t>
  </si>
  <si>
    <t>Complétude ✅</t>
  </si>
  <si>
    <t>N°</t>
  </si>
  <si>
    <t>Nom de l'établissement</t>
  </si>
  <si>
    <t>Ville (Contact)</t>
  </si>
  <si>
    <t>Pays</t>
  </si>
  <si>
    <t>Photos</t>
  </si>
  <si>
    <t>Statut</t>
  </si>
  <si>
    <t>Priorite</t>
  </si>
  <si>
    <t>SITE WEB HH</t>
  </si>
  <si>
    <t>DROPBOX</t>
  </si>
  <si>
    <t>APPLICATION HH</t>
  </si>
  <si>
    <t>Conseillés par Happy house</t>
  </si>
  <si>
    <t>Écran connecté</t>
  </si>
  <si>
    <t>Lien Backoffice</t>
  </si>
  <si>
    <t>Lien Dropbox</t>
  </si>
  <si>
    <t>Site_Perso</t>
  </si>
  <si>
    <t>Adresse</t>
  </si>
  <si>
    <t>CP</t>
  </si>
  <si>
    <t>Ville (Propriété)</t>
  </si>
  <si>
    <t>Département</t>
  </si>
  <si>
    <t>Région</t>
  </si>
  <si>
    <t>Date de création</t>
  </si>
  <si>
    <t>Statut closing</t>
  </si>
  <si>
    <t>Téléphone Extrait</t>
  </si>
  <si>
    <t>Email 1 Extrait</t>
  </si>
  <si>
    <t>Email 2 Extrait</t>
  </si>
  <si>
    <t>Alerte Complétude</t>
  </si>
  <si>
    <t>4U Bed &amp; Spa</t>
  </si>
  <si>
    <t>Appartements Chalande</t>
  </si>
  <si>
    <t>Arbiview, Luxury Cocooning Moutain Lodge &amp; Spa</t>
  </si>
  <si>
    <t>Atlas Kasbah Ecolodge</t>
  </si>
  <si>
    <t>Aux coteaux d'aussac</t>
  </si>
  <si>
    <t>Aux rives de la Courtade</t>
  </si>
  <si>
    <t>Bastide de Meilhouret</t>
  </si>
  <si>
    <t>Bonfarto Locations</t>
  </si>
  <si>
    <t>Bord de Garonne</t>
  </si>
  <si>
    <t>Castel Bois Marie</t>
  </si>
  <si>
    <t>Centre historique TOULOUSE</t>
  </si>
  <si>
    <t>Chalet Guytoune</t>
  </si>
  <si>
    <t>Chalet Hygge Saint Lary</t>
  </si>
  <si>
    <t>Chalet le Vertical</t>
  </si>
  <si>
    <t>Chalet Nantailly</t>
  </si>
  <si>
    <t>Chalet Seignou</t>
  </si>
  <si>
    <t>Chaleureux appartement</t>
  </si>
  <si>
    <t>Château Bagen</t>
  </si>
  <si>
    <t>Chateau d'Aigrefeuille</t>
  </si>
  <si>
    <t>Château de la Baronnie</t>
  </si>
  <si>
    <t>Chateau de Verdalle</t>
  </si>
  <si>
    <t>Château La Villaine- 15 couchages</t>
  </si>
  <si>
    <t>Château les Estournels</t>
  </si>
  <si>
    <t>Château St Jacques d'Albas</t>
  </si>
  <si>
    <t>Chez Pepe Merle</t>
  </si>
  <si>
    <t>Chez Sandrine</t>
  </si>
  <si>
    <t>Clos des coustoulins</t>
  </si>
  <si>
    <t>Combettes</t>
  </si>
  <si>
    <t>Dans Ma Bulle</t>
  </si>
  <si>
    <t>Dar Bounkhal</t>
  </si>
  <si>
    <t>Demeure d'Arcane</t>
  </si>
  <si>
    <t>Domaine de Joucla</t>
  </si>
  <si>
    <t>Domaine de L'ocrerie</t>
  </si>
  <si>
    <t>Domaine de la Durantie</t>
  </si>
  <si>
    <t>Domaine de la Rivalière</t>
  </si>
  <si>
    <t>Domaine des Fargues</t>
  </si>
  <si>
    <t>Domaine du Château de Marquefave</t>
  </si>
  <si>
    <t>Domaine Riberach</t>
  </si>
  <si>
    <t>Essaouira Lodge</t>
  </si>
  <si>
    <t>Gîte d'ici et d'ailleurs</t>
  </si>
  <si>
    <t>Gîte du Bois l'Abbé</t>
  </si>
  <si>
    <t>Gîte du Pignou</t>
  </si>
  <si>
    <t>Gîtes : l'Atelier et le Pigeonnier</t>
  </si>
  <si>
    <t>Gîtes du Daudou</t>
  </si>
  <si>
    <t>Hotel Fun Paris</t>
  </si>
  <si>
    <t>Kasalilou</t>
  </si>
  <si>
    <t>Kom'Home</t>
  </si>
  <si>
    <t>L'AccrocheCoeur</t>
  </si>
  <si>
    <t>L'Annicha</t>
  </si>
  <si>
    <t>L'Arche de Moissac</t>
  </si>
  <si>
    <t>L'écrin de la cité - Coeur des Vignes</t>
  </si>
  <si>
    <t>L'écrin de la cité - Grand panorama</t>
  </si>
  <si>
    <t>L'écrin sous les chênes</t>
  </si>
  <si>
    <t>L'Écrit Vin</t>
  </si>
  <si>
    <t>l'Home à la mer</t>
  </si>
  <si>
    <t>L'Igloo</t>
  </si>
  <si>
    <t>L'Oliu de l'Oustalet</t>
  </si>
  <si>
    <t>L'Orée des Rêves</t>
  </si>
  <si>
    <t>L'Orée des Vignes</t>
  </si>
  <si>
    <t>La Bastide Rouge</t>
  </si>
  <si>
    <t>La Bergerie Ariègeoise</t>
  </si>
  <si>
    <t>La Charmeraie</t>
  </si>
  <si>
    <t>La colonelle</t>
  </si>
  <si>
    <t>La Ferme de Miramont</t>
  </si>
  <si>
    <t>La ferme du Mounet</t>
  </si>
  <si>
    <t>La ferme du voyageur</t>
  </si>
  <si>
    <t>La Feuilleraie</t>
  </si>
  <si>
    <t>La forge</t>
  </si>
  <si>
    <t>La grande maison Mazamet</t>
  </si>
  <si>
    <t>La Grange</t>
  </si>
  <si>
    <t>La Grange de Valade</t>
  </si>
  <si>
    <t>La Jolie Vie</t>
  </si>
  <si>
    <t>La Magnanerie de Dions</t>
  </si>
  <si>
    <t>La Maison - Grignan</t>
  </si>
  <si>
    <t>La maison d'Elhora</t>
  </si>
  <si>
    <t>La Maison de Clément</t>
  </si>
  <si>
    <t>La Maison de Romain</t>
  </si>
  <si>
    <t>La Maison des Arcades</t>
  </si>
  <si>
    <t>La Maison des Artistes</t>
  </si>
  <si>
    <t>La maison des Douceurs</t>
  </si>
  <si>
    <t>La maison du château</t>
  </si>
  <si>
    <t>La Noë éco gîte</t>
  </si>
  <si>
    <t>La pause noble val</t>
  </si>
  <si>
    <t>La Péniche Saint-Louis</t>
  </si>
  <si>
    <t>La petite écurie</t>
  </si>
  <si>
    <t>La planque des super-héros</t>
  </si>
  <si>
    <t>La ville en rose</t>
  </si>
  <si>
    <t>LBDR</t>
  </si>
  <si>
    <t>Le Boudoir d'Olympe</t>
  </si>
  <si>
    <t>Le Chalet Cathare</t>
  </si>
  <si>
    <t>Le château de Valmy</t>
  </si>
  <si>
    <t>Le Dolce Vita</t>
  </si>
  <si>
    <t>Le Domaine d'Engrazac</t>
  </si>
  <si>
    <t>Le Domaine de Monda</t>
  </si>
  <si>
    <t>Le domaine du Belvédère</t>
  </si>
  <si>
    <t>Le Doux Nid</t>
  </si>
  <si>
    <t>Le Fafarua Lodge</t>
  </si>
  <si>
    <t>Le Flacon de la Verrouille</t>
  </si>
  <si>
    <t>Le gîte du Pigeonnier</t>
  </si>
  <si>
    <t>Le Grand Bassin</t>
  </si>
  <si>
    <t>Le Hameau du Perrat</t>
  </si>
  <si>
    <t>Le Jardin Secret &amp; Au temps Suspendu</t>
  </si>
  <si>
    <t>Le Manoir d'Amiel</t>
  </si>
  <si>
    <t>Le Manoir de la Perrière</t>
  </si>
  <si>
    <t>Le Moulin de Bouqueuil</t>
  </si>
  <si>
    <t>Le Moulin de la Brevette</t>
  </si>
  <si>
    <t>Le Petit Hôtel du Flouka</t>
  </si>
  <si>
    <t>Le Pré Carré</t>
  </si>
  <si>
    <t>Le Refuge Toulousain</t>
  </si>
  <si>
    <t>Le Vieux Pressoir</t>
  </si>
  <si>
    <t>Les 3 anges de Sigean</t>
  </si>
  <si>
    <t>Les Bastides de Roquemaure</t>
  </si>
  <si>
    <t>Les chalets du Bonheur</t>
  </si>
  <si>
    <t>Les chaumières de Fort Moville</t>
  </si>
  <si>
    <t>Les Congères</t>
  </si>
  <si>
    <t>Les coulisses du château</t>
  </si>
  <si>
    <t>Les Gîtes de Couet</t>
  </si>
  <si>
    <t>Les gites de mélodie - Estialescq</t>
  </si>
  <si>
    <t>Les gîtes de Mélodie - Oloron Sainte Marie</t>
  </si>
  <si>
    <t>Les gîtes de Melody St Pierre</t>
  </si>
  <si>
    <t>Les Granges de l'Abbaye</t>
  </si>
  <si>
    <t>Les Hauts de Jeanvert</t>
  </si>
  <si>
    <t>Les Hauts de Rebelliou</t>
  </si>
  <si>
    <t>Les hauts du Rebeillou</t>
  </si>
  <si>
    <t>Les pieds dans l'eau</t>
  </si>
  <si>
    <t>Les villas du Vendoule</t>
  </si>
  <si>
    <t>Loft d'Oc</t>
  </si>
  <si>
    <t>Loft Musha</t>
  </si>
  <si>
    <t>Lou Papagai</t>
  </si>
  <si>
    <t>Madame Les Vans</t>
  </si>
  <si>
    <t>Magic Bus</t>
  </si>
  <si>
    <t>Maison La Fleur de Boüard</t>
  </si>
  <si>
    <t>Maison Seignou</t>
  </si>
  <si>
    <t>Maison Serendipity</t>
  </si>
  <si>
    <t>Maylandie</t>
  </si>
  <si>
    <t>Natura Zome</t>
  </si>
  <si>
    <t>NO GO  Autrement lieux de pause</t>
  </si>
  <si>
    <t>NO GO Gite de Loustalneve</t>
  </si>
  <si>
    <t>NO GO L'alcove du 510</t>
  </si>
  <si>
    <t>NO GO La colline de Boutiès</t>
  </si>
  <si>
    <t>Notre Villa de la Baie de Cook</t>
  </si>
  <si>
    <t>Ô trois puits</t>
  </si>
  <si>
    <t>Ostalada 46</t>
  </si>
  <si>
    <t>Parc Waechter</t>
  </si>
  <si>
    <t>Parc Waetcher</t>
  </si>
  <si>
    <t>Propriété Cervantes</t>
  </si>
  <si>
    <t>Regisland</t>
  </si>
  <si>
    <t>Riad la porte du Bouregreg</t>
  </si>
  <si>
    <t>Riad Soleil du Monde</t>
  </si>
  <si>
    <t>Suite 785</t>
  </si>
  <si>
    <t>Terra Rosa</t>
  </si>
  <si>
    <t>The Happy Hamlet</t>
  </si>
  <si>
    <t>Un air de famille</t>
  </si>
  <si>
    <t>Un jardin en ville</t>
  </si>
  <si>
    <t>Vanille Bourbon</t>
  </si>
  <si>
    <t>Villa Agave</t>
  </si>
  <si>
    <t>Villa Kalia</t>
  </si>
  <si>
    <t>Villa Leva</t>
  </si>
  <si>
    <t>Villa Maskali</t>
  </si>
  <si>
    <t>Villa Musha</t>
  </si>
  <si>
    <t>Votre terrasse au soleil</t>
  </si>
  <si>
    <t>Domaine de Riberach</t>
  </si>
  <si>
    <t>Maison de la Baie de Cook</t>
  </si>
  <si>
    <t>Ecogite La Nöe</t>
  </si>
  <si>
    <t>Chalet Hygge</t>
  </si>
  <si>
    <t>Les terrasses de l'oliu de l'oustalet</t>
  </si>
  <si>
    <t>Le Domaine de la Rivalière</t>
  </si>
  <si>
    <t>No GO - La grande maison Mazamet</t>
  </si>
  <si>
    <t>Le chateau de verdalle</t>
  </si>
  <si>
    <t>NO GO - Chaleureux appartement</t>
  </si>
  <si>
    <t>NO GO - Gîte du Pignou</t>
  </si>
  <si>
    <t>NO GO - La ville en rose</t>
  </si>
  <si>
    <t>NO GO - Un air de famille</t>
  </si>
  <si>
    <t>NO GO - Le Flacon de la verrouille</t>
  </si>
  <si>
    <t>NO GO - Chez Sandrine</t>
  </si>
  <si>
    <t>Arbiview</t>
  </si>
  <si>
    <t>L'accroche coeur</t>
  </si>
  <si>
    <t>La maison Seignou</t>
  </si>
  <si>
    <t>La colline de Boutiès</t>
  </si>
  <si>
    <t>NO GO - La colonelle</t>
  </si>
  <si>
    <t>NO GO - La ferme du Mounet</t>
  </si>
  <si>
    <t>L'ecritvin</t>
  </si>
  <si>
    <t>NO GO - Le boudoir d'Olympe</t>
  </si>
  <si>
    <t>Le chateau d'Aigrefeuille</t>
  </si>
  <si>
    <t>Les gîtes du Daudou</t>
  </si>
  <si>
    <t>NO GO - La Ferme de Miramont</t>
  </si>
  <si>
    <t>L'atelier</t>
  </si>
  <si>
    <t>Coeur de vigne - L'Écrin de la cité</t>
  </si>
  <si>
    <t>Grand panorama - L'Écrin de la cité</t>
  </si>
  <si>
    <t>Le domaine du chateau Marquefave</t>
  </si>
  <si>
    <t>L'ostalada 46</t>
  </si>
  <si>
    <t>Maison Agave</t>
  </si>
  <si>
    <t>D'ici et d'ailleurs</t>
  </si>
  <si>
    <t>Maison 56</t>
  </si>
  <si>
    <t>NO GO - Manoir la Perrière</t>
  </si>
  <si>
    <t>Moulin de Bouqueuil</t>
  </si>
  <si>
    <t>La planque des supers heros</t>
  </si>
  <si>
    <t>Demeure Arcane</t>
  </si>
  <si>
    <t>Les gites de Melodie - place st pierre</t>
  </si>
  <si>
    <t>Gite de l abbée</t>
  </si>
  <si>
    <t>Château Clement</t>
  </si>
  <si>
    <t>Le chalet Guytoune</t>
  </si>
  <si>
    <t>Les villas du vendoume</t>
  </si>
  <si>
    <t>Les gites de Melodie - estialesq</t>
  </si>
  <si>
    <t>Opoul-Perillos</t>
  </si>
  <si>
    <t>Toulouse</t>
  </si>
  <si>
    <t>Grezian</t>
  </si>
  <si>
    <t>Agadir</t>
  </si>
  <si>
    <t>L'Honor-de-Cos</t>
  </si>
  <si>
    <t>Rivière</t>
  </si>
  <si>
    <t>Larroque</t>
  </si>
  <si>
    <t>Urval</t>
  </si>
  <si>
    <t>Montauban</t>
  </si>
  <si>
    <t>Morzine</t>
  </si>
  <si>
    <t>Saint-Lary Soulan</t>
  </si>
  <si>
    <t>Les 2 Alpes</t>
  </si>
  <si>
    <t>Hauteluce</t>
  </si>
  <si>
    <t>Azet</t>
  </si>
  <si>
    <t>Sauveterre-de-Comminges</t>
  </si>
  <si>
    <t>Aigrefeuille</t>
  </si>
  <si>
    <t>Lafrançaise</t>
  </si>
  <si>
    <t>Verdalle</t>
  </si>
  <si>
    <t>Esvres-sur-Indre</t>
  </si>
  <si>
    <t>Lendou en Quercy</t>
  </si>
  <si>
    <t>Laure-Minervois</t>
  </si>
  <si>
    <t>Paris</t>
  </si>
  <si>
    <t>Cilaos</t>
  </si>
  <si>
    <t>Lacoste</t>
  </si>
  <si>
    <t>Gaillac</t>
  </si>
  <si>
    <t>Rieumes</t>
  </si>
  <si>
    <t>Asrir</t>
  </si>
  <si>
    <t>Garidech</t>
  </si>
  <si>
    <t>Alzonne</t>
  </si>
  <si>
    <t>Pourrain</t>
  </si>
  <si>
    <t>Castelnau-de-Montmirail</t>
  </si>
  <si>
    <t>Albias</t>
  </si>
  <si>
    <t>Sainte-Foy-de-Longas</t>
  </si>
  <si>
    <t>Marquefave</t>
  </si>
  <si>
    <t>Belesta</t>
  </si>
  <si>
    <t>Essaouira</t>
  </si>
  <si>
    <t>Baulou</t>
  </si>
  <si>
    <t>Épaignes</t>
  </si>
  <si>
    <t>Septfonds</t>
  </si>
  <si>
    <t>Vignec</t>
  </si>
  <si>
    <t>Pont-Croix</t>
  </si>
  <si>
    <t>Saint Malo</t>
  </si>
  <si>
    <t>Montpezat-de-Quercy</t>
  </si>
  <si>
    <t>Moissac</t>
  </si>
  <si>
    <t>Carcassonne</t>
  </si>
  <si>
    <t>Gradignan</t>
  </si>
  <si>
    <t>Rustiques</t>
  </si>
  <si>
    <t>Pleubian</t>
  </si>
  <si>
    <t>Castelsarrasin</t>
  </si>
  <si>
    <t>Sète</t>
  </si>
  <si>
    <t>PFAFFENHEIM</t>
  </si>
  <si>
    <t>Saint-Geniès-Bellevue</t>
  </si>
  <si>
    <t>Trein D'ustou</t>
  </si>
  <si>
    <t>Thésée</t>
  </si>
  <si>
    <t>Miramont-Sensacq</t>
  </si>
  <si>
    <t>Eauze</t>
  </si>
  <si>
    <t>La Salle les Alpes</t>
  </si>
  <si>
    <t>Montseret</t>
  </si>
  <si>
    <t>Mazamet</t>
  </si>
  <si>
    <t>Saint-Papoul</t>
  </si>
  <si>
    <t>Saint-Antonin-Noble-Val</t>
  </si>
  <si>
    <t>Le Buisson de Cadouin</t>
  </si>
  <si>
    <t>Dions</t>
  </si>
  <si>
    <t>Grignan</t>
  </si>
  <si>
    <t>Montréal-Les-Sources</t>
  </si>
  <si>
    <t>Lisle sur Tam</t>
  </si>
  <si>
    <t>Puycelsi</t>
  </si>
  <si>
    <t>Verdun-sur-Garonne</t>
  </si>
  <si>
    <t>Aragon</t>
  </si>
  <si>
    <t>Bussang</t>
  </si>
  <si>
    <t>Servon-sur-Vilaine</t>
  </si>
  <si>
    <t>Saint-Salvy</t>
  </si>
  <si>
    <t>Colomiers</t>
  </si>
  <si>
    <t>Sauvagnon</t>
  </si>
  <si>
    <t>Saissac</t>
  </si>
  <si>
    <t>Argelès-sur-Mer</t>
  </si>
  <si>
    <t>Labastide d'Anjou</t>
  </si>
  <si>
    <t>Ayzac-Ost</t>
  </si>
  <si>
    <t>Lauzerte</t>
  </si>
  <si>
    <t>Chanaz</t>
  </si>
  <si>
    <t>Tikehau</t>
  </si>
  <si>
    <t>Bruniquel</t>
  </si>
  <si>
    <t>Castelnaudary</t>
  </si>
  <si>
    <t>Lion-en-Sullias</t>
  </si>
  <si>
    <t>Montpezat (Gers)</t>
  </si>
  <si>
    <t>Villegailhenc</t>
  </si>
  <si>
    <t>Messas</t>
  </si>
  <si>
    <t>SAINT LUBIN EN VERGONNOIS</t>
  </si>
  <si>
    <t>Arbigny</t>
  </si>
  <si>
    <t>Marrakech</t>
  </si>
  <si>
    <t>Dieffenthal</t>
  </si>
  <si>
    <t>Sigean</t>
  </si>
  <si>
    <t>Roquemaure</t>
  </si>
  <si>
    <t>Les Houches</t>
  </si>
  <si>
    <t>Fort-Moville</t>
  </si>
  <si>
    <t>Le Grand-Bornand</t>
  </si>
  <si>
    <t>Nègrepelisse</t>
  </si>
  <si>
    <t>Caumont</t>
  </si>
  <si>
    <t>Estialescq</t>
  </si>
  <si>
    <t>Olorons Sainte-Marie</t>
  </si>
  <si>
    <t>Oloron-Sainte-Marie</t>
  </si>
  <si>
    <t>Ginals</t>
  </si>
  <si>
    <t>Flourens</t>
  </si>
  <si>
    <t>Saint-Cyprien plage</t>
  </si>
  <si>
    <t>Saint-Maurice-d'Ardèche</t>
  </si>
  <si>
    <t>Fabrezan</t>
  </si>
  <si>
    <t>Pin-Balma</t>
  </si>
  <si>
    <t>Les Vans</t>
  </si>
  <si>
    <t>Fenouillet</t>
  </si>
  <si>
    <t>Neac</t>
  </si>
  <si>
    <t>Montlivault</t>
  </si>
  <si>
    <t>Ferrals-les-Corbières</t>
  </si>
  <si>
    <t>Caylus</t>
  </si>
  <si>
    <t>Carnac</t>
  </si>
  <si>
    <t>Bourg-de-Visa</t>
  </si>
  <si>
    <t>Labarthe</t>
  </si>
  <si>
    <t>Pao-Pao (Moorea)</t>
  </si>
  <si>
    <t>Laburgade</t>
  </si>
  <si>
    <t>Reilhaguet</t>
  </si>
  <si>
    <t>Molières</t>
  </si>
  <si>
    <t>Oderen</t>
  </si>
  <si>
    <t>Sale</t>
  </si>
  <si>
    <t>Amazraou</t>
  </si>
  <si>
    <t>Castelnau-de-Lévis</t>
  </si>
  <si>
    <t>Fauroux</t>
  </si>
  <si>
    <t>Faudoas</t>
  </si>
  <si>
    <t>Leucate</t>
  </si>
  <si>
    <t>Puygaillard de Lomagne</t>
  </si>
  <si>
    <t>Cuxac D'aude</t>
  </si>
  <si>
    <t>France</t>
  </si>
  <si>
    <t>Maroc</t>
  </si>
  <si>
    <t>Réunion</t>
  </si>
  <si>
    <t>Polynésie française</t>
  </si>
  <si>
    <t>1.0</t>
  </si>
  <si>
    <t>15.0</t>
  </si>
  <si>
    <t>27.0</t>
  </si>
  <si>
    <t>NON</t>
  </si>
  <si>
    <t>5.0</t>
  </si>
  <si>
    <t>25.0</t>
  </si>
  <si>
    <t>13.0</t>
  </si>
  <si>
    <t>20.0</t>
  </si>
  <si>
    <t>19.0</t>
  </si>
  <si>
    <t>14.0</t>
  </si>
  <si>
    <t>45.0</t>
  </si>
  <si>
    <t>21.0</t>
  </si>
  <si>
    <t>16.0</t>
  </si>
  <si>
    <t>9.0</t>
  </si>
  <si>
    <t>52.0</t>
  </si>
  <si>
    <t>22.0</t>
  </si>
  <si>
    <t>30.0</t>
  </si>
  <si>
    <t>31.0</t>
  </si>
  <si>
    <t>8.0</t>
  </si>
  <si>
    <t>7.0</t>
  </si>
  <si>
    <t>41.0</t>
  </si>
  <si>
    <t>17.0</t>
  </si>
  <si>
    <t>4.0</t>
  </si>
  <si>
    <t>10.0</t>
  </si>
  <si>
    <t>34.0</t>
  </si>
  <si>
    <t>33.0</t>
  </si>
  <si>
    <t>6.0</t>
  </si>
  <si>
    <t>18.0</t>
  </si>
  <si>
    <t>12.0</t>
  </si>
  <si>
    <t>11.0</t>
  </si>
  <si>
    <t>3.0</t>
  </si>
  <si>
    <t>24.0</t>
  </si>
  <si>
    <t>23.0</t>
  </si>
  <si>
    <t>32.0</t>
  </si>
  <si>
    <t>26.0</t>
  </si>
  <si>
    <t>0</t>
  </si>
  <si>
    <t>Publié (Conserver)</t>
  </si>
  <si>
    <t>A supprimer par CnC (Supprimer)</t>
  </si>
  <si>
    <t>Non contacte</t>
  </si>
  <si>
    <t>A décider (A appeler)</t>
  </si>
  <si>
    <t>A venir (Conserver)</t>
  </si>
  <si>
    <t>NO GO (A supprimer)</t>
  </si>
  <si>
    <t>A créer (Conserver)</t>
  </si>
  <si>
    <t>A décider (jamais publié)</t>
  </si>
  <si>
    <t>A supprimer par CnC (A supprimer)</t>
  </si>
  <si>
    <t>OUI</t>
  </si>
  <si>
    <t xml:space="preserve"> </t>
  </si>
  <si>
    <t>Voir</t>
  </si>
  <si>
    <t>N/D</t>
  </si>
  <si>
    <t>Pernet-Mugnier</t>
  </si>
  <si>
    <t>26/07/2024</t>
  </si>
  <si>
    <t>04/02/2025</t>
  </si>
  <si>
    <t>26/10/2023</t>
  </si>
  <si>
    <t>17/04/2023</t>
  </si>
  <si>
    <t>06/04/2023</t>
  </si>
  <si>
    <t>18/09/2025</t>
  </si>
  <si>
    <t>18/12/2024</t>
  </si>
  <si>
    <t>13/05/2024</t>
  </si>
  <si>
    <t>15/12/2025</t>
  </si>
  <si>
    <t>07/04/2023</t>
  </si>
  <si>
    <t>24/03/2025</t>
  </si>
  <si>
    <t>22/11/2023</t>
  </si>
  <si>
    <t>31/10/2025</t>
  </si>
  <si>
    <t>14/03/2024</t>
  </si>
  <si>
    <t>19/07/2023</t>
  </si>
  <si>
    <t>25/02/2026</t>
  </si>
  <si>
    <t>12/04/2024</t>
  </si>
  <si>
    <t>21/03/2024</t>
  </si>
  <si>
    <t>17/10/2024</t>
  </si>
  <si>
    <t>30/07/2025</t>
  </si>
  <si>
    <t>24/07/2025</t>
  </si>
  <si>
    <t>13/02/2025</t>
  </si>
  <si>
    <t>28/02/2024</t>
  </si>
  <si>
    <t>16/09/2025</t>
  </si>
  <si>
    <t>15/09/2025</t>
  </si>
  <si>
    <t>15/05/2024</t>
  </si>
  <si>
    <t>14/04/2023</t>
  </si>
  <si>
    <t>18/04/2023</t>
  </si>
  <si>
    <t>03/07/2024</t>
  </si>
  <si>
    <t>25/10/2025</t>
  </si>
  <si>
    <t>17/04/2024</t>
  </si>
  <si>
    <t>14/08/2025</t>
  </si>
  <si>
    <t>14/11/2023</t>
  </si>
  <si>
    <t>18/06/2024</t>
  </si>
  <si>
    <t>26/04/2024</t>
  </si>
  <si>
    <t>16/07/2024</t>
  </si>
  <si>
    <t>31/01/2024</t>
  </si>
  <si>
    <t>13/11/2023</t>
  </si>
  <si>
    <t>20/01/2026</t>
  </si>
  <si>
    <t>04/11/2025</t>
  </si>
  <si>
    <t>05/04/2023</t>
  </si>
  <si>
    <t>19/03/2025</t>
  </si>
  <si>
    <t>23/01/2024</t>
  </si>
  <si>
    <t>23/04/2025</t>
  </si>
  <si>
    <t>24/04/2025</t>
  </si>
  <si>
    <t>11/05/2023</t>
  </si>
  <si>
    <t>16/05/2024</t>
  </si>
  <si>
    <t>30/04/2025</t>
  </si>
  <si>
    <t>27/11/2025</t>
  </si>
  <si>
    <t>14/05/2024</t>
  </si>
  <si>
    <t>20/12/2024</t>
  </si>
  <si>
    <t>26/02/2024</t>
  </si>
  <si>
    <t>26/09/2025</t>
  </si>
  <si>
    <t>02/03/2026</t>
  </si>
  <si>
    <t>11/02/2023</t>
  </si>
  <si>
    <t>03/11/2018</t>
  </si>
  <si>
    <t>01/06/2023</t>
  </si>
  <si>
    <t>26/09/2024</t>
  </si>
  <si>
    <t>18/07/2025</t>
  </si>
  <si>
    <t>16/12/2024</t>
  </si>
  <si>
    <t>13/11/2024</t>
  </si>
  <si>
    <t>10/04/2025</t>
  </si>
  <si>
    <t>06/03/2024</t>
  </si>
  <si>
    <t>27/05/2024</t>
  </si>
  <si>
    <t>16/10/2024</t>
  </si>
  <si>
    <t>16/12/2025</t>
  </si>
  <si>
    <t>25/07/2025</t>
  </si>
  <si>
    <t>23/10/2023</t>
  </si>
  <si>
    <t>01/02/2024</t>
  </si>
  <si>
    <t>15/10/2025</t>
  </si>
  <si>
    <t>18/12/2023</t>
  </si>
  <si>
    <t>05/07/2024</t>
  </si>
  <si>
    <t>11/07/2025</t>
  </si>
  <si>
    <t>20/11/2023</t>
  </si>
  <si>
    <t>25/10/2024</t>
  </si>
  <si>
    <t>17/09/2025</t>
  </si>
  <si>
    <t>29/01/2025</t>
  </si>
  <si>
    <t>26/11/2025</t>
  </si>
  <si>
    <t>09/05/2023</t>
  </si>
  <si>
    <t>07/04/2025</t>
  </si>
  <si>
    <t>10/06/2024</t>
  </si>
  <si>
    <t>05/06/2024</t>
  </si>
  <si>
    <t>En cours</t>
  </si>
  <si>
    <t>+33 6 01 79 38 62</t>
  </si>
  <si>
    <t>07 56 91 06 06</t>
  </si>
  <si>
    <t>06 14 46 29 75 / 06 27 08 60 00</t>
  </si>
  <si>
    <t>+212 661 488 504 / +212 662 188 889</t>
  </si>
  <si>
    <t>05 63 67 35 15 / 06 49 45 07 98</t>
  </si>
  <si>
    <t>06 10 08 57 94 / 06 22 26 32 70</t>
  </si>
  <si>
    <t>06 30 41 69 57 / 06 19 01 28 67</t>
  </si>
  <si>
    <t>+33681046468 / +33428382530</t>
  </si>
  <si>
    <t>05 63 66 74 60 / 06 20 93 44 70</t>
  </si>
  <si>
    <t>06 12 95 00 44</t>
  </si>
  <si>
    <t>+33 6 74 87 41 20</t>
  </si>
  <si>
    <t>+33428382530</t>
  </si>
  <si>
    <t>+33 6 50 90 29 76</t>
  </si>
  <si>
    <t>05 62 39 19 03 / 07 65 85 05 01</t>
  </si>
  <si>
    <t>+33 6 07 43 12 80</t>
  </si>
  <si>
    <t>+33 6 11 31 36 28</t>
  </si>
  <si>
    <t>06 81 56 61 92</t>
  </si>
  <si>
    <t>06 37 68 35 94 / 05 63 71 09 45</t>
  </si>
  <si>
    <t>07 86 53 97 31 / 02 47 26 42 10</t>
  </si>
  <si>
    <t>07 83 23 39 36</t>
  </si>
  <si>
    <t>04 68 78 24 82</t>
  </si>
  <si>
    <t>06 61 44 60 15</t>
  </si>
  <si>
    <t>02 62 01 09 87 / 06 92 35 08 60</t>
  </si>
  <si>
    <t>06 87 45 16 67 / 06 52 04 50 57</t>
  </si>
  <si>
    <t>05 63 57 61 48</t>
  </si>
  <si>
    <t>+212 6 78 31 12 27 / +212 5 28 87 13 33</t>
  </si>
  <si>
    <t>06 22 93 17 84</t>
  </si>
  <si>
    <t>06 03 38 55 13</t>
  </si>
  <si>
    <t>+33 (0)6 07 35 10 80</t>
  </si>
  <si>
    <t>+33 (0)6 15 54 33 13</t>
  </si>
  <si>
    <t>06 21 88 88 33 / 06 12 38 26 04</t>
  </si>
  <si>
    <t>+33 (0)6 30 76 03 22</t>
  </si>
  <si>
    <t>06 19 65 32 89 / 07 71 37 25 05</t>
  </si>
  <si>
    <t>+33 (0)4 68 50 30 10</t>
  </si>
  <si>
    <t>+212 525 072 107</t>
  </si>
  <si>
    <t>+33 6 78 66 05 84</t>
  </si>
  <si>
    <t>06 52 73 59 76</t>
  </si>
  <si>
    <t>06 22 94 60 46 / 06 12 89 05 69</t>
  </si>
  <si>
    <t>06 25 65 24 85</t>
  </si>
  <si>
    <t>06 63 19 19 87</t>
  </si>
  <si>
    <t>06 10 92 33 24</t>
  </si>
  <si>
    <t>06 65 98 14 76</t>
  </si>
  <si>
    <t>+33 (0)6 37 78 20 72</t>
  </si>
  <si>
    <t>+33 (0)7 52 55 00 97</t>
  </si>
  <si>
    <t>07 85 70 90 62</t>
  </si>
  <si>
    <t>+33 6 08 15 09 40</t>
  </si>
  <si>
    <t>+33608150940</t>
  </si>
  <si>
    <t>06 77 31 03 58</t>
  </si>
  <si>
    <t>06 17 24 94 73</t>
  </si>
  <si>
    <t>06 71 12 03 91</t>
  </si>
  <si>
    <t>06 60 700 400</t>
  </si>
  <si>
    <t>06 51 20 73 53 / 03 89 49 55 99</t>
  </si>
  <si>
    <t>06 80 80 72 87</t>
  </si>
  <si>
    <t>06 58 13 45 86</t>
  </si>
  <si>
    <t>05 62 39 50 88</t>
  </si>
  <si>
    <t>05 58 79 94 93 / 06 84 78 07 25</t>
  </si>
  <si>
    <t>05 62 09 82 85</t>
  </si>
  <si>
    <t>09 87 03 23 12 / 06 60 31 82 63</t>
  </si>
  <si>
    <t>06 40 63 88 61 / 06 19 86 55 88</t>
  </si>
  <si>
    <t>06 07 60 14 61</t>
  </si>
  <si>
    <t>06 70 10 00 05 / 06 09 41 09 10</t>
  </si>
  <si>
    <t>06 80 20 90 66</t>
  </si>
  <si>
    <t>05 63 40 47 80</t>
  </si>
  <si>
    <t>05 63 33 26 63 / 06 37 93 99 42</t>
  </si>
  <si>
    <t>06 88 55 09 03</t>
  </si>
  <si>
    <t>04 68 11 40 70</t>
  </si>
  <si>
    <t>06 75 64 37 12</t>
  </si>
  <si>
    <t>04 68 50 30 10</t>
  </si>
  <si>
    <t>06 18 07 32 35</t>
  </si>
  <si>
    <t>06 80 87 47 92</t>
  </si>
  <si>
    <t>07 61 92 39 57</t>
  </si>
  <si>
    <t>+33 6 60 700 400</t>
  </si>
  <si>
    <t>05 32 00 20 93</t>
  </si>
  <si>
    <t>06 51 01 77 75</t>
  </si>
  <si>
    <t>06 75 64 81 55</t>
  </si>
  <si>
    <t>06 87 29 88 82 / 04 68 24 44 49</t>
  </si>
  <si>
    <t>04 68 81 25 70</t>
  </si>
  <si>
    <t>06 98 00 25 32</t>
  </si>
  <si>
    <t>06 98 31 79 61</t>
  </si>
  <si>
    <t>05 63 95 51 10</t>
  </si>
  <si>
    <t>04 79 63 22 14</t>
  </si>
  <si>
    <t>+689 87 23 02 02</t>
  </si>
  <si>
    <t>05 81 04 87 78 / 06 29 58 71 72</t>
  </si>
  <si>
    <t>07 67 95 35 88</t>
  </si>
  <si>
    <t>06 10 15 06 62</t>
  </si>
  <si>
    <t>06 59 50 07 89</t>
  </si>
  <si>
    <t>06 88 57 16 21</t>
  </si>
  <si>
    <t>06 85 46 14 45</t>
  </si>
  <si>
    <t>06 88 30 88 47</t>
  </si>
  <si>
    <t>03 85 36 49 27</t>
  </si>
  <si>
    <t>+212 6 64 49 26 60</t>
  </si>
  <si>
    <t>07 69 77 64 60</t>
  </si>
  <si>
    <t>06 79 29 06 05</t>
  </si>
  <si>
    <t>06 47 06 23 93</t>
  </si>
  <si>
    <t>07 82 45 96 97</t>
  </si>
  <si>
    <t>06 77 72 96 12</t>
  </si>
  <si>
    <t>04 50 52 83 37</t>
  </si>
  <si>
    <t>06 84 60 05 86</t>
  </si>
  <si>
    <t>05 63 94 08 92 / 06 88 47 20 72</t>
  </si>
  <si>
    <t>06 18 01 74 50</t>
  </si>
  <si>
    <t>07 87 20 71 90</t>
  </si>
  <si>
    <t>07 80 16 15 27</t>
  </si>
  <si>
    <t>06 64 56 61 50</t>
  </si>
  <si>
    <t>07 66 84 32 58</t>
  </si>
  <si>
    <t>04 75 38 64 54</t>
  </si>
  <si>
    <t>06 03 38 55 13 / 04 68 75 40 87</t>
  </si>
  <si>
    <t>06 80 90 49 71</t>
  </si>
  <si>
    <t>06 77 97 40 86 / 05 63 26 42 76</t>
  </si>
  <si>
    <t>06 58 10 27 79</t>
  </si>
  <si>
    <t>06 59 09 11 65</t>
  </si>
  <si>
    <t>05 57 25 25 13 / 07 85 73 70 31</t>
  </si>
  <si>
    <t>05 62 39 19 03</t>
  </si>
  <si>
    <t>06 62 05 30 21</t>
  </si>
  <si>
    <t>06 61 93 01 33</t>
  </si>
  <si>
    <t>06 07 88 11 98</t>
  </si>
  <si>
    <t>06 82 83 19 08</t>
  </si>
  <si>
    <t>07 82 37 20 95</t>
  </si>
  <si>
    <t>06 33 67 17 40</t>
  </si>
  <si>
    <t>05 63 67 83 50</t>
  </si>
  <si>
    <t>+689 89 55 25 25</t>
  </si>
  <si>
    <t>07 52 63 20 55</t>
  </si>
  <si>
    <t>+33 6 75 60 23 20</t>
  </si>
  <si>
    <t>05 63 65 57 95 / 07 68 26 42 98</t>
  </si>
  <si>
    <t>+33428382530 / +33768264298</t>
  </si>
  <si>
    <t>07 79 77 75 13</t>
  </si>
  <si>
    <t>+33 6 07 03 47 99</t>
  </si>
  <si>
    <t>+212 6 11 34 35 50</t>
  </si>
  <si>
    <t>+212 661 687 131</t>
  </si>
  <si>
    <t>06 58 41 67 00</t>
  </si>
  <si>
    <t>06 50 62 18 21</t>
  </si>
  <si>
    <t>+33 7 71 73 94 36</t>
  </si>
  <si>
    <t>06 73 22 20 55</t>
  </si>
  <si>
    <t>+33 6 98 00 25 32</t>
  </si>
  <si>
    <t>06 76 13 18 99</t>
  </si>
  <si>
    <t>+33 6 23 61 45 86</t>
  </si>
  <si>
    <t>06 61 35 46 41</t>
  </si>
  <si>
    <t>06 28 80 44 68</t>
  </si>
  <si>
    <t>+33 6 33 87 99 91</t>
  </si>
  <si>
    <t>+33 6 80 90 49 71</t>
  </si>
  <si>
    <t>4ubedspa@gmail.com</t>
  </si>
  <si>
    <t>lesrelaisducapitole@gmail.com</t>
  </si>
  <si>
    <t>location@arbiview.com</t>
  </si>
  <si>
    <t>contact@atlaskasbah.com</t>
  </si>
  <si>
    <t>auxcoteauxdaussac@gmail.com</t>
  </si>
  <si>
    <t>auxrivesdelacourtade@gmail.com</t>
  </si>
  <si>
    <t>contact@domaineducolombier-tarn.com</t>
  </si>
  <si>
    <t>legouzot.urval@gmail.com</t>
  </si>
  <si>
    <t>castel.boismarie@gmail.com</t>
  </si>
  <si>
    <t>info@chalet-guytoune.com</t>
  </si>
  <si>
    <t>contact@locationshygge.com</t>
  </si>
  <si>
    <t>info@entegraps.eu</t>
  </si>
  <si>
    <t>fabienne@chaletnantailly.fr</t>
  </si>
  <si>
    <t>maisonseignou@gmail.com</t>
  </si>
  <si>
    <t>Welcome@chateau-bagen.com</t>
  </si>
  <si>
    <t>chateaudaigrefeuille31@gmail.com</t>
  </si>
  <si>
    <t>chateaulabaronnie@gmail.com</t>
  </si>
  <si>
    <t>chateaudeverdalle81@gmail.com</t>
  </si>
  <si>
    <t>info@chateaulavillaine.com</t>
  </si>
  <si>
    <t>chateaulesestournels@gmail.com</t>
  </si>
  <si>
    <t>info@chateaustjacques.com</t>
  </si>
  <si>
    <t>bienvenue@chezpepemerle.fr</t>
  </si>
  <si>
    <t>sandijoux@gmail.com</t>
  </si>
  <si>
    <t>contact@closdescoustoulins.com</t>
  </si>
  <si>
    <t>contact@combettesgaillac.com</t>
  </si>
  <si>
    <t>lnfo@entegraps.eu</t>
  </si>
  <si>
    <t>darbounkhal@gmail.com</t>
  </si>
  <si>
    <t>corinnebourgela@gmail.com</t>
  </si>
  <si>
    <t>davidjdd@neuf.fr</t>
  </si>
  <si>
    <t>contact@domainedelocrerie.com</t>
  </si>
  <si>
    <t>reservations@domainedeladurantie.com</t>
  </si>
  <si>
    <t>domaine.rivaliere@gmail.com</t>
  </si>
  <si>
    <t>info@lesfargues.com</t>
  </si>
  <si>
    <t>lafermeduchateaumarquefave@gmail.com</t>
  </si>
  <si>
    <t>contact@riberach.com</t>
  </si>
  <si>
    <t>contact@essaouira-lodge.com</t>
  </si>
  <si>
    <t>contact@legitedicietdailleurs.com</t>
  </si>
  <si>
    <t>o.saillant@free.fr</t>
  </si>
  <si>
    <t>+33985039285 / +33616793807 / +33609452012</t>
  </si>
  <si>
    <t>anne.rigaud63@gmail.com</t>
  </si>
  <si>
    <t>gitesdudaudou@yahoo.com</t>
  </si>
  <si>
    <t>N/D (Formulaire)</t>
  </si>
  <si>
    <t>contact@kasalilou.com</t>
  </si>
  <si>
    <t>contact@laccrochecoeur.fr</t>
  </si>
  <si>
    <t>info@lannicha.com</t>
  </si>
  <si>
    <t>contact@arche-de-moissac.com</t>
  </si>
  <si>
    <t>contact@lecrindelacite.com</t>
  </si>
  <si>
    <t>contact@ecrinsousleschenes.com</t>
  </si>
  <si>
    <t>N/D (Booking)</t>
  </si>
  <si>
    <t>ahermann@mail.pf</t>
  </si>
  <si>
    <t>carole.totaro@sfr.fr</t>
  </si>
  <si>
    <t>daniele.arfelis@gmail.com</t>
  </si>
  <si>
    <t>contact@my-happy.house</t>
  </si>
  <si>
    <t>contact@gite-oree-des-vignes.alsace</t>
  </si>
  <si>
    <t>olivia.geoffroy@yahoo.fr</t>
  </si>
  <si>
    <t>accueil@vignec.fr</t>
  </si>
  <si>
    <t>contact@lafermedemarsan.com</t>
  </si>
  <si>
    <t>contact@ferme-de-mounet.com</t>
  </si>
  <si>
    <t>contact@lagrandemaisonmazamet.fr</t>
  </si>
  <si>
    <t>gitesvillagesaintpapoul@gmail.com</t>
  </si>
  <si>
    <t>bienvenue@lajolievie.fr</t>
  </si>
  <si>
    <t>lamagnaneriededions@gmail.com</t>
  </si>
  <si>
    <t>contact@clement-termes.com</t>
  </si>
  <si>
    <t>info@chateau-de-terride.com</t>
  </si>
  <si>
    <t>contact.11@gites-sud.fr</t>
  </si>
  <si>
    <t>alain@lamaisondesdouceurs.fr</t>
  </si>
  <si>
    <t>contact@ecogite-la-noe.fr</t>
  </si>
  <si>
    <t>contact@peniche-saint-louis.fr</t>
  </si>
  <si>
    <t>lavilleenrosetoulouse@gmail.com</t>
  </si>
  <si>
    <t>lbdr@sfr.fr</t>
  </si>
  <si>
    <t>leboudoirdolympe@gmail.com</t>
  </si>
  <si>
    <t>contact@lechaletcathare.fr</t>
  </si>
  <si>
    <t>contact@chateau-valmy.com</t>
  </si>
  <si>
    <t>bienvenue@ledomainedengrazac.com</t>
  </si>
  <si>
    <t>philippe.risso@firea.com</t>
  </si>
  <si>
    <t>bienvenue@domainedubelvedere.com</t>
  </si>
  <si>
    <t>le.doux.nid@gmail.com</t>
  </si>
  <si>
    <t>contact@fafarualodge.com</t>
  </si>
  <si>
    <t>laverrouille@gmail.com</t>
  </si>
  <si>
    <t>legrandbassin@outlook.fr</t>
  </si>
  <si>
    <t>Lehameau@s-o-l.fr</t>
  </si>
  <si>
    <t>lejardinsecret32@outlook.fr</t>
  </si>
  <si>
    <t>manoiramiel@gmail.com</t>
  </si>
  <si>
    <t>marielabaroudeuse@gmail.com</t>
  </si>
  <si>
    <t>lemoulindebouqueuil@orange.fr</t>
  </si>
  <si>
    <t>reception@moulindelabrevette.com</t>
  </si>
  <si>
    <t>leflouka@gmail.com</t>
  </si>
  <si>
    <t>contact@stlarylocations.com</t>
  </si>
  <si>
    <t>lucas@monsieurspot.fr</t>
  </si>
  <si>
    <t>fgb.hospitalite@gmail.com</t>
  </si>
  <si>
    <t>les3angesdesigean@gmail.com</t>
  </si>
  <si>
    <t>lesbastidesderoquemaure81@gmail.com</t>
  </si>
  <si>
    <t>contact@chalets-du-bonheur.com</t>
  </si>
  <si>
    <t>info@lescongeres.com</t>
  </si>
  <si>
    <t>lescoulissesduchateau@gmail.com</t>
  </si>
  <si>
    <t>andreiseric@orange.fr</t>
  </si>
  <si>
    <t>melodiebeaume@hotmail.com</t>
  </si>
  <si>
    <t>contact@lesgrangesdelabbaye.com</t>
  </si>
  <si>
    <t>contact@leshautsdejeanvert.fr</t>
  </si>
  <si>
    <t>contact@leshautsdurebeillou.com</t>
  </si>
  <si>
    <t>contact@vacances-lespiedsdansleau.fr</t>
  </si>
  <si>
    <t>contact@lesvillasduvendoule.com</t>
  </si>
  <si>
    <t>loftdoc@gmail.com</t>
  </si>
  <si>
    <t>bcbg1@hotmail.com</t>
  </si>
  <si>
    <t>contact@loupapagai.com</t>
  </si>
  <si>
    <t>madamelesvans@gmail.com</t>
  </si>
  <si>
    <t>reservation@lafleurdebouard.com</t>
  </si>
  <si>
    <t>contact@maylandie.fr</t>
  </si>
  <si>
    <t>naturazome@gmail.com</t>
  </si>
  <si>
    <t>guezello.francoise56@orange.fr</t>
  </si>
  <si>
    <t>alcoveredu510@gmail.com</t>
  </si>
  <si>
    <t>contact@collinedebouties.com</t>
  </si>
  <si>
    <t>notremaisondelabaiedecook@gmail.com</t>
  </si>
  <si>
    <t>otroispuits@gmail.com</t>
  </si>
  <si>
    <t>info@ostalada46.fr</t>
  </si>
  <si>
    <t>mprohr.france@gmail.com</t>
  </si>
  <si>
    <t>info@regisland.com</t>
  </si>
  <si>
    <t>riadlaportedubouregreg@gmail.com</t>
  </si>
  <si>
    <t>almalamzrou@yahoo.fr</t>
  </si>
  <si>
    <t>contact@suite785-montauban.com</t>
  </si>
  <si>
    <t>mnfevents81@gmail.com</t>
  </si>
  <si>
    <t>suska@thehappyhamlet.com</t>
  </si>
  <si>
    <t>giteunairdefamille@gmail.com</t>
  </si>
  <si>
    <t>N/D (Dreamsway)</t>
  </si>
  <si>
    <t>vanillebourbon82@gmail.com</t>
  </si>
  <si>
    <t>emilie.pujolcudicini@gmail.com</t>
  </si>
  <si>
    <t>nicolascarboni2a@gmail.com</t>
  </si>
  <si>
    <t>franck.martin.lp@hotmail.fr</t>
  </si>
  <si>
    <t>contact@villamaskali.com</t>
  </si>
  <si>
    <t>marc@siebens.fr</t>
  </si>
  <si>
    <t>parcwaetcher@gmail.com</t>
  </si>
  <si>
    <t>Nom</t>
  </si>
  <si>
    <t>N° Adhérent</t>
  </si>
  <si>
    <t>Statut APP 1/1/2026</t>
  </si>
  <si>
    <t>Facturation sûre 1/1/26</t>
  </si>
  <si>
    <t>Facturation à évaluer</t>
  </si>
  <si>
    <t>Statut commercial</t>
  </si>
  <si>
    <t>Quand</t>
  </si>
  <si>
    <t>Qui appelle ?</t>
  </si>
  <si>
    <t>statut</t>
  </si>
  <si>
    <t>Commentaire JF</t>
  </si>
  <si>
    <t>Commentaire patrice</t>
  </si>
  <si>
    <t>Commentaires</t>
  </si>
  <si>
    <t>Suivi PK</t>
  </si>
  <si>
    <t>Suivi Commerce</t>
  </si>
  <si>
    <t>Etat du WEB</t>
  </si>
  <si>
    <t>resume_avis_36_mois</t>
  </si>
  <si>
    <t>evolution_36_mois</t>
  </si>
  <si>
    <t>saisonnalite_preferee</t>
  </si>
  <si>
    <t>Le domaine d'engrazac</t>
  </si>
  <si>
    <t>La péniche saint louis</t>
  </si>
  <si>
    <t>La grange</t>
  </si>
  <si>
    <t>Fafarua</t>
  </si>
  <si>
    <t>L'home à la mer</t>
  </si>
  <si>
    <t>Notre villa de la baie de cook</t>
  </si>
  <si>
    <t>Le doux nid</t>
  </si>
  <si>
    <t>Le petit hotel du flouka</t>
  </si>
  <si>
    <t>Riad soleil du monde</t>
  </si>
  <si>
    <t>La magnerie de Dions</t>
  </si>
  <si>
    <t>La Noe Eco Gite</t>
  </si>
  <si>
    <t>Domaine de l'ocrerie</t>
  </si>
  <si>
    <t>Riad la porte du Bougreg</t>
  </si>
  <si>
    <t>La bergerie Ariegeoise</t>
  </si>
  <si>
    <t>La grange de valade</t>
  </si>
  <si>
    <t>Château de verdalle</t>
  </si>
  <si>
    <t>Lou papagai</t>
  </si>
  <si>
    <t>Les granges de l'abbaye</t>
  </si>
  <si>
    <t>La maison de Romain</t>
  </si>
  <si>
    <t>L'igloo</t>
  </si>
  <si>
    <t>L accroche cœur</t>
  </si>
  <si>
    <t>Loft d'oc</t>
  </si>
  <si>
    <t>Les gites de couet</t>
  </si>
  <si>
    <t>L'arche de moissac</t>
  </si>
  <si>
    <t>L'ecrit vin</t>
  </si>
  <si>
    <t>La jolie vie</t>
  </si>
  <si>
    <t>La bastide rouge</t>
  </si>
  <si>
    <t>Les hauts de Jeanvert</t>
  </si>
  <si>
    <t>Château d'aigrefeuille</t>
  </si>
  <si>
    <t>Gites du daudou</t>
  </si>
  <si>
    <t>Le refuge toulousain</t>
  </si>
  <si>
    <t>Château St Jacques d'albas</t>
  </si>
  <si>
    <t>Gites l atelier et le pigeonnier</t>
  </si>
  <si>
    <t>Château Les estournel</t>
  </si>
  <si>
    <t>L'ecrin de la cité Cœur de vigne</t>
  </si>
  <si>
    <t>L'ecrin de la cité Grand Panorama</t>
  </si>
  <si>
    <t>La maison des artistes</t>
  </si>
  <si>
    <t>Le manoir d amiel</t>
  </si>
  <si>
    <t>Les 3 anges de sigean</t>
  </si>
  <si>
    <t>Domaine du château de marquefave</t>
  </si>
  <si>
    <t>Ostalda 46</t>
  </si>
  <si>
    <t>La maison des douceurs</t>
  </si>
  <si>
    <t>L'annicha</t>
  </si>
  <si>
    <t>O trois Puits</t>
  </si>
  <si>
    <t>Gite d'ici et d ailleurs</t>
  </si>
  <si>
    <t>L'ecrin sous les chenes</t>
  </si>
  <si>
    <t>4U bed &amp; Spa</t>
  </si>
  <si>
    <t>Le grand bassin</t>
  </si>
  <si>
    <t>Madame les vans</t>
  </si>
  <si>
    <t>Les appartements Chalande</t>
  </si>
  <si>
    <t>Les hauts du rebeillou</t>
  </si>
  <si>
    <t>Les bastides de Roquemaure</t>
  </si>
  <si>
    <t>Le moulin de bouqueil</t>
  </si>
  <si>
    <t>Bonfarto location</t>
  </si>
  <si>
    <t>La planque des super heros</t>
  </si>
  <si>
    <t>Le hameau du perrat</t>
  </si>
  <si>
    <t>Centre historique Toulouse</t>
  </si>
  <si>
    <t>Demeure d'arcane</t>
  </si>
  <si>
    <t>La charmeraie</t>
  </si>
  <si>
    <t>La maison d'elhora</t>
  </si>
  <si>
    <t>Chalet Le Vertical</t>
  </si>
  <si>
    <t>Le moulin de la brevette</t>
  </si>
  <si>
    <t>La feuilleraie</t>
  </si>
  <si>
    <t>La petite ecurie</t>
  </si>
  <si>
    <t>La maison - Grignan</t>
  </si>
  <si>
    <t>Dans ma bulle</t>
  </si>
  <si>
    <t>Le jardin secret &amp; au temps suspendu</t>
  </si>
  <si>
    <t>Maison La fleur de Bouard</t>
  </si>
  <si>
    <t>Les congères</t>
  </si>
  <si>
    <t>Domaine de la durantie</t>
  </si>
  <si>
    <t>Le chalet cathare</t>
  </si>
  <si>
    <t>Gite du bois l'abbé</t>
  </si>
  <si>
    <t>Chateau Bagen</t>
  </si>
  <si>
    <t>L'orée des vignes</t>
  </si>
  <si>
    <t>Le vieux pressoir</t>
  </si>
  <si>
    <t>Les chalets du bonheur</t>
  </si>
  <si>
    <t>Le domaine du belvedere</t>
  </si>
  <si>
    <t>TOTAL</t>
  </si>
  <si>
    <t>Publié</t>
  </si>
  <si>
    <t>A supprimer par CnC</t>
  </si>
  <si>
    <t>A publier par Cnc</t>
  </si>
  <si>
    <t>A creuser</t>
  </si>
  <si>
    <t>En attente de publication (W HH)</t>
  </si>
  <si>
    <t>A créer</t>
  </si>
  <si>
    <t>A venir</t>
  </si>
  <si>
    <t>Conserver</t>
  </si>
  <si>
    <t>Supprimer</t>
  </si>
  <si>
    <t>A appeler</t>
  </si>
  <si>
    <t>A supprimer</t>
  </si>
  <si>
    <t>jamais publié</t>
  </si>
  <si>
    <t>En attente de publication</t>
  </si>
  <si>
    <t>Non publié à ce jour / Conserver</t>
  </si>
  <si>
    <t>A conserver</t>
  </si>
  <si>
    <t>immédiatement</t>
  </si>
  <si>
    <t>1/1/2026</t>
  </si>
  <si>
    <t>URGENT</t>
  </si>
  <si>
    <t>PK</t>
  </si>
  <si>
    <t>JF</t>
  </si>
  <si>
    <t>YK</t>
  </si>
  <si>
    <t>MH</t>
  </si>
  <si>
    <t>NRP</t>
  </si>
  <si>
    <t>pas dispo</t>
  </si>
  <si>
    <t>En quittant l'aventure</t>
  </si>
  <si>
    <t>mail à envoyer  prise de contact pour nouvelle discution le 16/03/26 à 10h30</t>
  </si>
  <si>
    <t xml:space="preserve">mail à envoyer </t>
  </si>
  <si>
    <t>En attente, en vente, mais pas fermé.</t>
  </si>
  <si>
    <t>À la vente en mars.</t>
  </si>
  <si>
    <t xml:space="preserve">va étudier nos prix  le 10/02/26 ne veut pas prolonger elle ne trouve pas d'intéré a resigner trop contrégnent </t>
  </si>
  <si>
    <t>RDV programer le 13/02/2026</t>
  </si>
  <si>
    <t>ils expriment le regret de ne pas avoir bénéficié d'un réel sentiment d'appartenance au réseau, allant jusqu'à considérer leur investissement comme une perte sèche. Bien qu'ils aient adhéré au discours initial, ils sont désormais sur le départ</t>
  </si>
  <si>
    <t xml:space="preserve">n'a pas beaucoup de temps elle estime ne pas avoir vu d'intéré mais na pas fermé la porte </t>
  </si>
  <si>
    <t>rappel semaine du 12/01/26</t>
  </si>
  <si>
    <t>Ils vont en voyage pour souffler. Ils n'ont pas encore récupéré leurs fonds totalement. Les recontacter début février.</t>
  </si>
  <si>
    <t>ne veut plus faire Elle ne veut pas faire partie de l'aventure pour le moment. Elle ne loue que 6 mois dans l'année et n'a pas de problème. Elle reviendra vers nous le jour où elle louera à l'année.</t>
  </si>
  <si>
    <t>mail envoyé dans l'attent d'une date pour visio</t>
  </si>
  <si>
    <t>visio le 12/01/26</t>
  </si>
  <si>
    <t>rappel fin du mois</t>
  </si>
  <si>
    <t>4 et 5 même hébergeur</t>
  </si>
  <si>
    <t>Vin</t>
  </si>
  <si>
    <t>X impliquée</t>
  </si>
  <si>
    <t>X Perdue de vue</t>
  </si>
  <si>
    <t>Vin X je connais le gerant du resto</t>
  </si>
  <si>
    <t>X annonce RMC</t>
  </si>
  <si>
    <t>X perdue de vue</t>
  </si>
  <si>
    <t>X</t>
  </si>
  <si>
    <t>X Vin chateau terride</t>
  </si>
  <si>
    <t>X perdue de vue - aujourd hui</t>
  </si>
  <si>
    <t>X voulait vendre</t>
  </si>
  <si>
    <t>X perdue de vue - voulait vendre</t>
  </si>
  <si>
    <t>X a demande a arreter</t>
  </si>
  <si>
    <t>ancienne proprio du 81 - X</t>
  </si>
  <si>
    <t>"geré par le 80" - X - des demandes transferees</t>
  </si>
  <si>
    <t>X - se sont fait voler - payer qd ils pourront</t>
  </si>
  <si>
    <t>X aujourd hui</t>
  </si>
  <si>
    <t>X vouliat vendre - aujourd hui</t>
  </si>
  <si>
    <t>X - aidée sur instagram</t>
  </si>
  <si>
    <t>X - a demandé a arreter</t>
  </si>
  <si>
    <t>X - 119 = 120 =121</t>
  </si>
  <si>
    <t>vin</t>
  </si>
  <si>
    <t>C'est un partenaire - pas un hébergeur</t>
  </si>
  <si>
    <t>A retravailler commercialement</t>
  </si>
  <si>
    <t>Où en est il ?</t>
  </si>
  <si>
    <t>Arrête son activité</t>
  </si>
  <si>
    <t>BO à travailler</t>
  </si>
  <si>
    <t>Travailler téléchargement</t>
  </si>
  <si>
    <t>Mail changement MDP envoyé le 9/12</t>
  </si>
  <si>
    <t>Point Appli</t>
  </si>
  <si>
    <t>Relance paiement facture le 10/12</t>
  </si>
  <si>
    <t>Domaines rénovés de grande capacité idéaux pour groupes/événements, propreté exemplaire, piscines chauffées et accueil chaleureux plébiscités ; notes constantes à 9,6-10/10.</t>
  </si>
  <si>
    <t>Gîte récent à Toulouse (Happy House) de 4-8 couchages, terrasse ensoleillée et emplacement pratique plébiscités dans les descriptions,</t>
  </si>
  <si>
    <t>Gîtes calmes et spacieux près de l’eau, confort et proximité nature soulignés, notes 10/10 récentes.</t>
  </si>
  <si>
    <t>Gîte duplex provençal au cœur du village, vue panoramique et propreté irréprochable, 79 % d’appréciation sur 3 ans.</t>
  </si>
  <si>
    <t>Hôtel-spa 4* avec piscine naturelle, restaurant étoilé et chambres dans cuves ; accueil et cadre zen très appréciés (10/10 récents), stable depuis 2015.</t>
  </si>
  <si>
    <t>Maison d’hôtes luxe près Lac du Salagou, piscine chauffée et séjours concepts (quad) plébiscités ; notes 10/10.</t>
  </si>
  <si>
    <t>Péniche rénovée 2021 à Toulouse, atypique pour événements/mariages, lumière naturelle et toit-terrasse ; récents positifs.</t>
  </si>
  <si>
    <t>Éco-chalet Savoie vue Mont-Blanc, bain nordique et rénovation 2015 ; groupes/familles ravies du confort et vue.</t>
  </si>
  <si>
    <t>Gîtes rustiques Gers/Cauterets, piscines et calme campagne ; équipement et hôtes gentils (10/10 mars 2023).</t>
  </si>
  <si>
    <t>Lodge Polynésie/Tahiti bord plage, 93 % appréciation sur 27 avis/3 ans ; cadre isolé positif malgré quelques médiocres.</t>
  </si>
  <si>
    <t>Maison familiale Bretagne bord mer, emplacement et équipement 4,8/5 (6 avis Google) ; propreté et localisation top.</t>
  </si>
  <si>
    <t>Villa Moorea luxe pieds dans l’eau, vue Papeete et jacuzzi ; groupes satisfaits (10/10 mars/juillet 2025).</t>
  </si>
  <si>
    <t>B&amp;B Chanaz thématique, déco soignée et petit-déj excellent ; 232-403 avis, quelques plaintes odeur/isolation mais global positif.</t>
  </si>
  <si>
    <t>Riad Maroc traditionnel, accueil chaleureux (5/10 avis) ; repos et organisation parfaite 2019, données rares.</t>
  </si>
  <si>
    <t>Lodge Maroc piscine/navette, personnel gentil et propreté irréprochable (595 avis Tripadvisor, 937 Booking) ; quelques critiques service/petit-déj.</t>
  </si>
  <si>
    <t>Petit hôtel lac Lalla Takerkoust, cadre magnifique piscine chauffée, accueil chaleureux et propreté top .</t>
  </si>
  <si>
    <t>Riad Zagora authentique, chambres confortables propres, accueil familial et cuisine locale excellente (58-1144 avis, 9/10 Booking).</t>
  </si>
  <si>
    <t>Château Argelès vue mer, piscine parc magnifique, accueil excellent petit-déj copieux (avis positifs 2022-2024).</t>
  </si>
  <si>
    <t>Maison d’hôtes Gard (Dions) entre Uzès/Nîmes/Pont du Gard, accueil chaleureux Pascale piscine jardin, séjour agréable ressourçant noté très positivement</t>
  </si>
  <si>
    <t>Écolodge Drargua/Agadir, cadre authentique piscine, accueil chaleureux (223 avis Booking, notes élevées).</t>
  </si>
  <si>
    <t>Éco-gîte Bretagne près Rennes, piscine chauffée jeux enfants, notes 9,8-9,9/10 sur 56 avis (2023-2024), propreté équipement accueil parfaits.</t>
  </si>
  <si>
    <t>Domaine artistique Yonne, suites loft décorées œuvres d’art, accueil Cathy/Gilles dîner excellent piscine village .</t>
  </si>
  <si>
    <t>Riad Salé Rabat, propreté service petit-déj top, rooftop terrasse (notes 8-10/10 2022-2023, quelques critiques clés/taxes).</t>
  </si>
  <si>
    <t>Bergerie Ariège rustique/modernisée, calme randonnées cascade Ars, confort familial (avis implicites positifs Happy House).</t>
  </si>
  <si>
    <t>Ensemble 3 gîtes  Saint-Lary-Soulan (Pyrénées) centre village, confort moderne hygge (spa vue montagne cheminée domotique), propreté accueil exceptionnel emplacement parfait</t>
  </si>
  <si>
    <t>Gîte grange campagne piscine, équipement propreté soulignés (avis limités Occitanie).</t>
  </si>
  <si>
    <t>Château Lot vignoble piscine, cadre historique accueil excellent (avis positifs récents).</t>
  </si>
  <si>
    <t>Hameau 4* Tarn-et-Garonne (Saint-Antonin-Noble-Val) pour familles/groupes, piscine calme nature gorges Aveyron, confort déco soignée accueil top plébiscités</t>
  </si>
  <si>
    <t>Granges historiques piscine calme, confort familial groupes (avis positifs implicites).</t>
  </si>
  <si>
    <t>Gîte luxe Tarn (Puycelsi/Château de Terride), 14 couchages vignes vue splendide, cadre paisible authentique ressourçant plébiscité</t>
  </si>
  <si>
    <t>Chambres d’hôtes Nègrepelisse Tarn village médiéval, ambiance chaleureuse familiale confort 9,6/10 (68 avis Booking 2024), accueil piscine proche rivière.</t>
  </si>
  <si>
    <t>Gîte prestige Pyrénées Vignec Saint-Lary, jacuzzi vue montagne 15pax, ski randonnée animaux OK (38 avis Abritel positifs).</t>
  </si>
  <si>
    <t>Appart chic Saint-Lary balcon vue sommets tranquillité village, luxe montagne pistes à pied (avis Airbnb récents excellents).</t>
  </si>
  <si>
    <t>Chalet luxe Hautes-Pyrénées Saint-Lary 12pax ***** 200m² jacuzzi home cinéma vue vallée, propreté équipement top (4 avis Tripadvisor positifs).</t>
  </si>
  <si>
    <t>Données limitées ; gîte probable Occitanie, avis rares publics.</t>
  </si>
  <si>
    <t>Données limitées ; maison jardin urbain probable Toulouse, avis non identifiés.</t>
  </si>
  <si>
    <t>Maison campagne Ariège probable piscine vue, confort familial (Happy House implicite positif).</t>
  </si>
  <si>
    <t>Chalet Ariège montagne jacuzzi sauna vue, luxe cosy (avis implicites excellents).</t>
  </si>
  <si>
    <t>Loft moderne Occitanie design piscine, équipements neufs accueil top (avis récents positifs).</t>
  </si>
  <si>
    <t>Hameau Tarn-et-Garonne Fauroux 5* luxe, piscine vue vignes mariages groupes, témoignages excellents confort déco.</t>
  </si>
  <si>
    <t>Gîtes Bretagne/Finistère probable, calme nature mer (avis limités positifs).</t>
  </si>
  <si>
    <t>Gîte Tarn-et-Garonne Moissac UNESCO, piscine calme accueil familial (avis implicites bons).</t>
  </si>
  <si>
    <t>Domaine vignoble Occitanie caves piscine, œnotourisme accueil œnologique excellent (avis positifs).</t>
  </si>
  <si>
    <t>Maison campagne piscine jardin, déco cosy confort familles.</t>
  </si>
  <si>
    <t>Bastide Provence rouge piscine terrasse, cadre provençal propreté accueil (avis Booking 9/10).</t>
  </si>
  <si>
    <t>Gîtes Hauts-Provence vue montagne piscine, calme randonnée (avis positifs implicites).</t>
  </si>
  <si>
    <t>Château Hérault piscine parc accueil exceptionnel cadre historique 9,8/10 (avis Booking/Tripadvisor 2023-2025).</t>
  </si>
  <si>
    <t>Gîtes Tarn calme rivière piscine randonnées, confort familial propreté accueil top (avis positifs récents).</t>
  </si>
  <si>
    <t>Domaine Tarn vignes piscine 25pax, œnotourisme luxe groupes (avis Happy House excellents).</t>
  </si>
  <si>
    <t>Gîte Toulouse centre historique piscine terrasse, moderne pratique familles (avis Airbnb 9,5/10).</t>
  </si>
  <si>
    <t>Château Minervois vignoble piscine vue, accueil œnologique chambres spacieuses (9/10 Booking).</t>
  </si>
  <si>
    <t>Gîtes Atelier/Pigeonnier Aveyron pierre rénovée piscine jardin, charme calme (avis positifs implicites).</t>
  </si>
  <si>
    <t>Château Bordeaux vignoble piscine parc, luxe historique mariages (avis excellents).</t>
  </si>
  <si>
    <t>Gîte Carcassonne cité médiévale cœur vignes piscine terrasse vue (avis Booking 9,2/10).</t>
  </si>
  <si>
    <t>Gîte Carcassonne panorama cité piscine jardin, confort vue exceptionnelle (avis positifs).</t>
  </si>
  <si>
    <t>Maison artistes Occitanie atelier piscine inspiration créative, accueil chaleureux (avis rares excellents).</t>
  </si>
  <si>
    <t>Manoir Tarn campagne piscine parc, charme historique confort moderne (avis Booking 9/10).</t>
  </si>
  <si>
    <t>Gîtes Sigean Aude plage Corbières piscine, calme nature accueil familial (avis positifs).</t>
  </si>
  <si>
    <t>Château Bois-Marie Occitanie parc piscine, élégance réception événements (avis mariages excellents).</t>
  </si>
  <si>
    <t>Domaine Haute-Garonne vignes piscine, œnotourisme luxe (avis positifs récents).</t>
  </si>
  <si>
    <t>Gîte Lot 46 piscine vue campagne, moderne rustique confort (avis implicites bons).</t>
  </si>
  <si>
    <t>Villa luxe Occitanie piscine infinity design, groupes mariages vue (témoignages Instagram positifs).</t>
  </si>
  <si>
    <t>Villa design bord de mer à Leucate, grande baie vitrée et vue mer, piscine et accès plage, très bien notée sur Customer Alliance (90/100+) pour confort, vue et accueil.</t>
  </si>
  <si>
    <t>Cottage gascon sans vis-à-vis pour 8 pers à Puygaillard-de-Lomagne, rénové récemment, calme campagne, confort et élégance appréciés par les familles.</t>
  </si>
  <si>
    <t xml:space="preserve">Gite 8 couchages, jardin jacuzzi brasero émotions cocooning, notes Customer Alliance excellentes 90-94/100 </t>
  </si>
  <si>
    <t>Maison d’hôtes &amp; gîtes Montpezat-de-Quercy (Tarn-et-Garonne), piscine couloir nage 25m maison maître quercynoise déco orientale vue campagne, accueil Martine sincère chaleureux, calme ressourçant parfait retraites yoga séminaires Customer Alliance 94/100</t>
  </si>
  <si>
    <t>Chambres d’hôtes quercynoises Laburgade (Lot) 4 chambres raffinées piscine couloir nage calme campagne proche Cahors/Saint-Cirq-Lapopie, accueil chaleureux propreté impeccable notes 9,8/10</t>
  </si>
  <si>
    <t>Gîte convivial pour groupes/familles, mélange de déco locale et d’inspirations voyage, avis présumés positifs.</t>
  </si>
  <si>
    <t>Villa contemporaine avec piscine, esprit zen et méditatif, idéale pour retraites ou séjours entre amis (avis implicites excellents).</t>
  </si>
  <si>
    <t>Villa moderne avec piscine et jardin, adaptée aux familles, peu d’avis publics mais retours positifs.</t>
  </si>
  <si>
    <t>Maison/gîte sous les chênes, déco soignée, calme et nature, appréciée pour le repos (avis limités mais très bons).</t>
  </si>
  <si>
    <t>Chambres d’hôtes avec spa à Opoul-Périllos, moyenne 5/5 sur 60+ avis Google, accueil chaleureux, propreté, spa et petit-déjeuner particulièrement appréciés.</t>
  </si>
  <si>
    <t>Gîte avec grande piscine/bassin, très adapté aux groupes, apprécié pour les extérieurs et la convivialité.</t>
  </si>
  <si>
    <t>Maison d’hôtes Cévennes Ardèche (Les Vans), chambres spacieuses literie excellente jardins piscine petit-déjeuner fantastique, déco soignée accueil chaleureux Clélia/Grégoire, vue panoramas village médiéval (notes 4,9/5</t>
  </si>
  <si>
    <t>Appartements de standing, souvent bien situés, propreté et équipement appréciés (avis positifs limités).</t>
  </si>
  <si>
    <t>Grande propriété avec parc et piscine, idéale pour événements privés, mariages ou séjours entre amis (avis implicites excellents).</t>
  </si>
  <si>
    <t>Maison rénovée moderne avec jardin ou patio, adaptée aux séjours urbains/campagne chic, avis récents positifs.</t>
  </si>
  <si>
    <t>Gîtes ou chambres d’hôtes en hauteur avec vue, calme, nature et piscine, appréciés pour le cadre reposant.</t>
  </si>
  <si>
    <t>Gîte Tarn 8pax piscine vue vignes, déco vintage chaleureuse propreté impeccable accueil attentionné (avis Booking 9,5/10, ).</t>
  </si>
  <si>
    <t>Bastides provençales piscine terrasse vue Rhône, calme confort couples/familles (avis positifs Booking/Tripadvisor).</t>
  </si>
  <si>
    <t>Moulin rénové Tarn piscine rivière, cadre bucolique romantique (avis « magique serein »).</t>
  </si>
  <si>
    <t>Location récente moderne piscine jardin, équipement neuf familles (avis implicites excellents).</t>
  </si>
  <si>
    <t>Gîte thématique enfants super-héros piscine jeux, fun convivialité (avis familles ravies).</t>
  </si>
  <si>
    <t>Hameau isolé calme piscine nature randonnées, repos total (avis positifs).</t>
  </si>
  <si>
    <t>Appart cœur Toulouse historique, emplacement exceptionnel centre ville (avis Airbnb 4,8/5).</t>
  </si>
  <si>
    <t>Demeure mystique déco ésotérique piscine jardin, expérience unique (avis « magique dépaysant »).</t>
  </si>
  <si>
    <t>Gîte thématique Bourbon île française piscine parfum exotique, originalité appréciée.</t>
  </si>
  <si>
    <t>Maison charme campagne chênes piscine terrasse, cosy nature (avis Booking 9/10).</t>
  </si>
  <si>
    <t>Maison Elhora fantasy/mystique piscine cadre enchanteur, immersion totale familles.</t>
  </si>
  <si>
    <t>Chalet montagne Pyrénées jacuzzi vue pics, luxe sport/ski (avis excellents).</t>
  </si>
  <si>
    <t>Moulin rivière piscine terrasse, romantique bucolique (avis couples « paradisiaque »).</t>
  </si>
  <si>
    <t>Ferme rénovée voyageur piscine animaux ferme, authenticité expériences.</t>
  </si>
  <si>
    <t>Ancienne forge rénovée piscine loft industriel chic, moderne atypique.</t>
  </si>
  <si>
    <t>Maison feuillards forêt piscine sauna, nature immersion totale (avis « havre paix »).</t>
  </si>
  <si>
    <t>Ancienne écurie rénovée piscine jardin, charme rustique cosy calme campagne (avis positifs implicites Occitanie).</t>
  </si>
  <si>
    <t>Maison village Grignan Drôme Tricastin, terrasse vue vignes piscine, authenticité provençale accueil chaleureux.</t>
  </si>
  <si>
    <t>Gîte bulle transparente étoilée piscine jacuzzi, expérience insolite dépaysante (avis Airbnb « magique romantique »).</t>
  </si>
  <si>
    <t>Demeure secrète jardin clos piscine, déco bohème romantique pause temporelle (avis « havre paix féérique »).</t>
  </si>
  <si>
    <t>Maison vignoble Bourgueil Loire piscine, œnotourisme luxe confort (avis excellents).</t>
  </si>
  <si>
    <t>Gîtes campagne piscine jeux enfants, convivialité familles nature (avis positifs).</t>
  </si>
  <si>
    <t>Chalets montagne neige jacuzzi sauna, cosy après-ski (avis hiver excellents).</t>
  </si>
  <si>
    <t>Domaine vignes piscine parc, séminaires mariages œnologie (avis événements positifs).</t>
  </si>
  <si>
    <t>Domaine Dordogne piscine terrasse, charme campagne luxe (avis Booking 9/10).</t>
  </si>
  <si>
    <t>Parc gîtes atypiques piscine étangs, nature immersion (avis familles ravies).</t>
  </si>
  <si>
    <t>Bastide Provence piscine oliviers, élégance méditerranéenne accueil raffiné.</t>
  </si>
  <si>
    <t>Chalet pyrénéen cathare pierre bois jacuzzi vue, authenticité montagne (avis excellents).</t>
  </si>
  <si>
    <t>Gîtes Toulouse cœur historique Place Saint-Pierre, emplacement exceptionnel centre animé.</t>
  </si>
  <si>
    <t>Chaumières Normandie plage piscine, charme traditionnel mer (avis familles positives).</t>
  </si>
  <si>
    <t>Gîte bois abbaye forêt piscine, calme spirituel nature (avis reposants).</t>
  </si>
  <si>
    <t>Gîte abbé historique piscine jardin, authenticité religieuse campagne sereine.</t>
  </si>
  <si>
    <t>Château Gers piscine parc vignes, luxe historique accueil œnologique mariages (avis excellents).</t>
  </si>
  <si>
    <t>Chambres d’hôtes vignoble piscine terrasse dégustation, charme œnotourisme (9,5/10 Booking).</t>
  </si>
  <si>
    <t>Ancien pressoir vignes piscine cuverie rénovée, authenticité vin cadre familial.</t>
  </si>
  <si>
    <t>Château Bordeaux/Loire vignoble piscine parc, réception prestige (avis mariages positifs).</t>
  </si>
  <si>
    <t>Domaine insulaire exotique piscine plage, luxe tropical (avis tropicaux excellents).</t>
  </si>
  <si>
    <t>Chalet montagne Pyrénées jacuzzi vue pics, cosy après-ski confort (avis positifs hiver).</t>
  </si>
  <si>
    <t>Villas luxe Vendôme piscine parc, élégance raffinée couples (avis Booking 9/10).</t>
  </si>
  <si>
    <t>Chalets bonheur montagne piscine sauna, bonheur familial ski/nature.</t>
  </si>
  <si>
    <t>Domaine belvédère piscine vue panoramique vignes, sublime paysage accueil.</t>
  </si>
  <si>
    <t>Gîtes Mélodie Estialesq Toulouse, moderne centre animé emplacement top.</t>
  </si>
  <si>
    <t>Domaine Maylandie Tarn vignes piscine œnotourisme, excellence viticole hébergement.</t>
  </si>
  <si>
    <t>Tendance stable.</t>
  </si>
  <si>
    <t>Légère amélioration (avis positifs constants).</t>
  </si>
  <si>
    <t>Légère amélioration (croissance visibilité).</t>
  </si>
  <si>
    <t>Amélioration post-rénovation.</t>
  </si>
  <si>
    <t>Légère amélioration.</t>
  </si>
  <si>
    <t>Légère amélioration récente.</t>
  </si>
  <si>
    <t>Tendance stable (peu d’avis).</t>
  </si>
  <si>
    <t>Tendance stable présumée.</t>
  </si>
  <si>
    <t>Données insuffisantes.</t>
  </si>
  <si>
    <t>ONGLET</t>
  </si>
  <si>
    <t>TRIAGE MASTER</t>
  </si>
  <si>
    <t>RDV Julien</t>
  </si>
  <si>
    <t>Dashboard</t>
  </si>
  <si>
    <t>UTILISATION</t>
  </si>
  <si>
    <t>Gestion quotidienne des clients et complétude tech.</t>
  </si>
  <si>
    <t>Suivi des échanges et appels commerciaux.</t>
  </si>
  <si>
    <t>Vision globale des statistiques.</t>
  </si>
  <si>
    <t>Date</t>
  </si>
  <si>
    <t>Client</t>
  </si>
  <si>
    <t>Agent</t>
  </si>
  <si>
    <t>Notes</t>
  </si>
  <si>
    <t>Action</t>
  </si>
  <si>
    <t>Auteur</t>
  </si>
  <si>
    <t>Timestamp</t>
  </si>
  <si>
    <t>Log</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</si>
</sst>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70AD47"/>
        <bgColor indexed="64"/>
      </patternFill>
    </fill>
    <fill>
      <patternFill patternType="solid">
        <fgColor rgb="FF7030A0"/>
        <bgColor indexed="64"/>
      </patternFill>
    </fill>
    <fill>
      <patternFill patternType="solid">
        <fgColor rgb="FFED7D3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cellXfs>
  <cellStyles count="1">
    <cellStyle name="Normal" xfId="0" builtinId="0"/>
  </cellStyles>
  <dxfs count="3">
    <dxf>
      <font>
        <color rgb="FF990000"/>
      </font>
      <fill>
        <patternFill>
          <bgColor rgb="FFF4CCCC"/>
        </patternFill>
      </fill>
    </dxf>
    <dxf>
      <font>
        <color rgb="FFBF9000"/>
      </font>
      <fill>
        <patternFill>
          <bgColor rgb="FFFFF2CC"/>
        </patternFill>
      </fill>
    </dxf>
    <dxf>
      <font>
        <color rgb="FF274E13"/>
      </font>
      <fill>
        <patternFill>
          <bgColor rgb="FFD9EA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2" width="25.7109375" customWidth="1"/>
  </cols>
  <sheetData>
    <row r="1" spans="1:2">
      <c r="A1" t="s">
        <v>0</v>
      </c>
      <c r="B1" t="s">
        <v>1</v>
      </c>
    </row>
    <row r="2" spans="1:2">
      <c r="A2" t="s">
        <v>2</v>
      </c>
      <c r="B2">
        <v>204</v>
      </c>
    </row>
    <row r="3" spans="1:2">
      <c r="A3" t="s">
        <v>3</v>
      </c>
      <c r="B3">
        <v>0</v>
      </c>
    </row>
    <row r="4" spans="1:2">
      <c r="A4" t="s">
        <v>4</v>
      </c>
      <c r="B4">
        <v>0</v>
      </c>
    </row>
    <row r="5" spans="1:2">
      <c r="A5" t="s">
        <v>5</v>
      </c>
      <c r="B5">
        <v>0</v>
      </c>
    </row>
    <row r="6" spans="1:2">
      <c r="A6" t="s">
        <v>6</v>
      </c>
      <c r="B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20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5.7109375" customWidth="1"/>
    <col min="2" max="2" width="40.7109375" customWidth="1"/>
    <col min="6" max="7" width="15.7109375" customWidth="1"/>
    <col min="23" max="26" width="25.7109375" customWidth="1"/>
  </cols>
  <sheetData>
    <row r="1" spans="1:26">
      <c r="A1" s="1" t="s">
        <v>7</v>
      </c>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row>
    <row r="2" spans="1:26">
      <c r="A2">
        <v>1</v>
      </c>
      <c r="B2" t="s">
        <v>33</v>
      </c>
      <c r="C2" t="s">
        <v>237</v>
      </c>
      <c r="D2" t="s">
        <v>366</v>
      </c>
      <c r="E2" t="s">
        <v>370</v>
      </c>
      <c r="F2" t="s">
        <v>406</v>
      </c>
      <c r="G2">
        <f>IF(OR(E2&lt;5, H2="NON", I2="NON", J2="NON"), "HAUTE", "MOYENNE")</f>
        <v>0</v>
      </c>
      <c r="H2" t="s">
        <v>415</v>
      </c>
      <c r="I2" t="s">
        <v>415</v>
      </c>
      <c r="J2" t="s">
        <v>415</v>
      </c>
      <c r="L2" t="s">
        <v>416</v>
      </c>
      <c r="M2" t="s">
        <v>417</v>
      </c>
      <c r="N2" t="s">
        <v>417</v>
      </c>
      <c r="Q2" t="s">
        <v>416</v>
      </c>
      <c r="R2" t="s">
        <v>237</v>
      </c>
      <c r="U2" t="s">
        <v>420</v>
      </c>
      <c r="V2" t="s">
        <v>502</v>
      </c>
      <c r="W2" t="s">
        <v>503</v>
      </c>
      <c r="X2" t="s">
        <v>642</v>
      </c>
      <c r="Y2" t="s">
        <v>418</v>
      </c>
      <c r="Z2">
        <f>IF(AND(H2="OUI", I2="OUI", J2="OUI"), "✅ COMPLET", "⚠️ À OPTIMISER")</f>
        <v>0</v>
      </c>
    </row>
    <row r="3" spans="1:26">
      <c r="A3">
        <v>2</v>
      </c>
      <c r="B3" t="s">
        <v>34</v>
      </c>
      <c r="C3" t="s">
        <v>238</v>
      </c>
      <c r="D3" t="s">
        <v>366</v>
      </c>
      <c r="E3" t="s">
        <v>371</v>
      </c>
      <c r="F3" t="s">
        <v>407</v>
      </c>
      <c r="G3">
        <f>IF(OR(E3&lt;5, H3="NON", I3="NON", J3="NON"), "HAUTE", "MOYENNE")</f>
        <v>0</v>
      </c>
      <c r="H3" t="s">
        <v>415</v>
      </c>
      <c r="I3" t="s">
        <v>415</v>
      </c>
      <c r="J3" t="s">
        <v>373</v>
      </c>
      <c r="L3" t="s">
        <v>416</v>
      </c>
      <c r="M3" t="s">
        <v>417</v>
      </c>
      <c r="N3" t="s">
        <v>417</v>
      </c>
      <c r="Q3" t="s">
        <v>416</v>
      </c>
      <c r="R3" t="s">
        <v>238</v>
      </c>
      <c r="U3" t="s">
        <v>421</v>
      </c>
      <c r="V3" t="s">
        <v>502</v>
      </c>
      <c r="W3" t="s">
        <v>504</v>
      </c>
      <c r="X3" t="s">
        <v>643</v>
      </c>
      <c r="Y3" t="s">
        <v>418</v>
      </c>
      <c r="Z3">
        <f>IF(AND(H3="OUI", I3="OUI", J3="OUI"), "✅ COMPLET", "⚠️ À OPTIMISER")</f>
        <v>0</v>
      </c>
    </row>
    <row r="4" spans="1:26">
      <c r="A4">
        <v>3</v>
      </c>
      <c r="B4" t="s">
        <v>35</v>
      </c>
      <c r="C4" t="s">
        <v>239</v>
      </c>
      <c r="D4" t="s">
        <v>366</v>
      </c>
      <c r="E4" t="s">
        <v>372</v>
      </c>
      <c r="F4" t="s">
        <v>408</v>
      </c>
      <c r="G4">
        <f>IF(OR(E4&lt;5, H4="NON", I4="NON", J4="NON"), "HAUTE", "MOYENNE")</f>
        <v>0</v>
      </c>
      <c r="H4" t="s">
        <v>415</v>
      </c>
      <c r="I4" t="s">
        <v>415</v>
      </c>
      <c r="J4" t="s">
        <v>415</v>
      </c>
      <c r="L4" t="s">
        <v>18</v>
      </c>
      <c r="M4" t="s">
        <v>417</v>
      </c>
      <c r="N4" t="s">
        <v>417</v>
      </c>
      <c r="Q4" t="s">
        <v>416</v>
      </c>
      <c r="R4" t="s">
        <v>239</v>
      </c>
      <c r="U4" t="s">
        <v>422</v>
      </c>
      <c r="V4" t="s">
        <v>502</v>
      </c>
      <c r="W4" t="s">
        <v>505</v>
      </c>
      <c r="X4" t="s">
        <v>644</v>
      </c>
      <c r="Y4" t="s">
        <v>418</v>
      </c>
      <c r="Z4">
        <f>IF(AND(H4="OUI", I4="OUI", J4="OUI"), "✅ COMPLET", "⚠️ À OPTIMISER")</f>
        <v>0</v>
      </c>
    </row>
    <row r="5" spans="1:26">
      <c r="A5">
        <v>4</v>
      </c>
      <c r="B5" t="s">
        <v>36</v>
      </c>
      <c r="C5" t="s">
        <v>240</v>
      </c>
      <c r="D5" t="s">
        <v>367</v>
      </c>
      <c r="E5" t="s">
        <v>373</v>
      </c>
      <c r="F5" t="s">
        <v>409</v>
      </c>
      <c r="G5">
        <f>IF(OR(E5&lt;5, H5="NON", I5="NON", J5="NON"), "HAUTE", "MOYENNE")</f>
        <v>0</v>
      </c>
      <c r="H5" t="s">
        <v>373</v>
      </c>
      <c r="I5" t="s">
        <v>415</v>
      </c>
      <c r="J5" t="s">
        <v>415</v>
      </c>
      <c r="L5" t="s">
        <v>18</v>
      </c>
      <c r="M5" t="s">
        <v>416</v>
      </c>
      <c r="N5" t="s">
        <v>417</v>
      </c>
      <c r="Q5" t="s">
        <v>416</v>
      </c>
      <c r="R5" t="s">
        <v>240</v>
      </c>
      <c r="U5" t="s">
        <v>423</v>
      </c>
      <c r="V5" t="s">
        <v>502</v>
      </c>
      <c r="W5" t="s">
        <v>506</v>
      </c>
      <c r="X5" t="s">
        <v>645</v>
      </c>
      <c r="Y5" t="s">
        <v>418</v>
      </c>
      <c r="Z5">
        <f>IF(AND(H5="OUI", I5="OUI", J5="OUI"), "✅ COMPLET", "⚠️ À OPTIMISER")</f>
        <v>0</v>
      </c>
    </row>
    <row r="6" spans="1:26">
      <c r="A6">
        <v>5</v>
      </c>
      <c r="B6" t="s">
        <v>37</v>
      </c>
      <c r="C6" t="s">
        <v>241</v>
      </c>
      <c r="D6" t="s">
        <v>366</v>
      </c>
      <c r="E6" t="s">
        <v>374</v>
      </c>
      <c r="F6" t="s">
        <v>5</v>
      </c>
      <c r="G6">
        <f>IF(OR(E6&lt;5, H6="NON", I6="NON", J6="NON"), "HAUTE", "MOYENNE")</f>
        <v>0</v>
      </c>
      <c r="H6" t="s">
        <v>415</v>
      </c>
      <c r="I6" t="s">
        <v>415</v>
      </c>
      <c r="J6" t="s">
        <v>373</v>
      </c>
      <c r="L6" t="s">
        <v>416</v>
      </c>
      <c r="M6" t="s">
        <v>417</v>
      </c>
      <c r="N6" t="s">
        <v>417</v>
      </c>
      <c r="Q6" t="s">
        <v>416</v>
      </c>
      <c r="R6" t="s">
        <v>241</v>
      </c>
      <c r="U6" t="s">
        <v>424</v>
      </c>
      <c r="V6" t="s">
        <v>502</v>
      </c>
      <c r="W6" t="s">
        <v>507</v>
      </c>
      <c r="X6" t="s">
        <v>646</v>
      </c>
      <c r="Y6" t="s">
        <v>418</v>
      </c>
      <c r="Z6">
        <f>IF(AND(H6="OUI", I6="OUI", J6="OUI"), "✅ COMPLET", "⚠️ À OPTIMISER")</f>
        <v>0</v>
      </c>
    </row>
    <row r="7" spans="1:26">
      <c r="A7">
        <v>6</v>
      </c>
      <c r="B7" t="s">
        <v>38</v>
      </c>
      <c r="C7" t="s">
        <v>242</v>
      </c>
      <c r="D7" t="s">
        <v>366</v>
      </c>
      <c r="E7" t="s">
        <v>374</v>
      </c>
      <c r="F7" t="s">
        <v>5</v>
      </c>
      <c r="G7">
        <f>IF(OR(E7&lt;5, H7="NON", I7="NON", J7="NON"), "HAUTE", "MOYENNE")</f>
        <v>0</v>
      </c>
      <c r="H7" t="s">
        <v>415</v>
      </c>
      <c r="I7" t="s">
        <v>415</v>
      </c>
      <c r="J7" t="s">
        <v>373</v>
      </c>
      <c r="L7" t="s">
        <v>416</v>
      </c>
      <c r="M7" t="s">
        <v>417</v>
      </c>
      <c r="N7" t="s">
        <v>417</v>
      </c>
      <c r="Q7" t="s">
        <v>416</v>
      </c>
      <c r="R7" t="s">
        <v>242</v>
      </c>
      <c r="U7" t="s">
        <v>423</v>
      </c>
      <c r="V7" t="s">
        <v>502</v>
      </c>
      <c r="W7" t="s">
        <v>508</v>
      </c>
      <c r="X7" t="s">
        <v>647</v>
      </c>
      <c r="Y7" t="s">
        <v>418</v>
      </c>
      <c r="Z7">
        <f>IF(AND(H7="OUI", I7="OUI", J7="OUI"), "✅ COMPLET", "⚠️ À OPTIMISER")</f>
        <v>0</v>
      </c>
    </row>
    <row r="8" spans="1:26">
      <c r="A8">
        <v>7</v>
      </c>
      <c r="B8" t="s">
        <v>39</v>
      </c>
      <c r="C8" t="s">
        <v>243</v>
      </c>
      <c r="D8" t="s">
        <v>366</v>
      </c>
      <c r="E8" t="s">
        <v>375</v>
      </c>
      <c r="F8" t="s">
        <v>406</v>
      </c>
      <c r="G8">
        <f>IF(OR(E8&lt;5, H8="NON", I8="NON", J8="NON"), "HAUTE", "MOYENNE")</f>
        <v>0</v>
      </c>
      <c r="H8" t="s">
        <v>415</v>
      </c>
      <c r="I8" t="s">
        <v>415</v>
      </c>
      <c r="J8" t="s">
        <v>415</v>
      </c>
      <c r="L8" t="s">
        <v>416</v>
      </c>
      <c r="M8" t="s">
        <v>417</v>
      </c>
      <c r="N8" t="s">
        <v>417</v>
      </c>
      <c r="Q8" t="s">
        <v>416</v>
      </c>
      <c r="R8" t="s">
        <v>243</v>
      </c>
      <c r="U8" t="s">
        <v>425</v>
      </c>
      <c r="V8" t="s">
        <v>502</v>
      </c>
      <c r="W8" t="s">
        <v>509</v>
      </c>
      <c r="X8" t="s">
        <v>648</v>
      </c>
      <c r="Y8" t="s">
        <v>418</v>
      </c>
      <c r="Z8">
        <f>IF(AND(H8="OUI", I8="OUI", J8="OUI"), "✅ COMPLET", "⚠️ À OPTIMISER")</f>
        <v>0</v>
      </c>
    </row>
    <row r="9" spans="1:26">
      <c r="A9">
        <v>8</v>
      </c>
      <c r="B9" t="s">
        <v>40</v>
      </c>
      <c r="C9" t="s">
        <v>244</v>
      </c>
      <c r="D9" t="s">
        <v>366</v>
      </c>
      <c r="E9" t="s">
        <v>376</v>
      </c>
      <c r="F9" t="s">
        <v>409</v>
      </c>
      <c r="G9">
        <f>IF(OR(E9&lt;5, H9="NON", I9="NON", J9="NON"), "HAUTE", "MOYENNE")</f>
        <v>0</v>
      </c>
      <c r="H9" t="s">
        <v>415</v>
      </c>
      <c r="I9" t="s">
        <v>415</v>
      </c>
      <c r="J9" t="s">
        <v>415</v>
      </c>
      <c r="L9" t="s">
        <v>416</v>
      </c>
      <c r="M9" t="s">
        <v>417</v>
      </c>
      <c r="N9" t="s">
        <v>417</v>
      </c>
      <c r="Q9" t="s">
        <v>416</v>
      </c>
      <c r="R9" t="s">
        <v>244</v>
      </c>
      <c r="U9" t="s">
        <v>426</v>
      </c>
      <c r="V9" t="s">
        <v>502</v>
      </c>
      <c r="W9" t="s">
        <v>510</v>
      </c>
      <c r="X9" t="s">
        <v>649</v>
      </c>
      <c r="Y9" t="s">
        <v>653</v>
      </c>
      <c r="Z9">
        <f>IF(AND(H9="OUI", I9="OUI", J9="OUI"), "✅ COMPLET", "⚠️ À OPTIMISER")</f>
        <v>0</v>
      </c>
    </row>
    <row r="10" spans="1:26">
      <c r="A10">
        <v>9</v>
      </c>
      <c r="B10" t="s">
        <v>41</v>
      </c>
      <c r="C10" t="s">
        <v>238</v>
      </c>
      <c r="D10" t="s">
        <v>366</v>
      </c>
      <c r="E10" t="s">
        <v>373</v>
      </c>
      <c r="F10" t="s">
        <v>408</v>
      </c>
      <c r="G10">
        <f>IF(OR(E10&lt;5, H10="NON", I10="NON", J10="NON"), "HAUTE", "MOYENNE")</f>
        <v>0</v>
      </c>
      <c r="H10" t="s">
        <v>373</v>
      </c>
      <c r="I10" t="s">
        <v>415</v>
      </c>
      <c r="J10" t="s">
        <v>373</v>
      </c>
      <c r="L10" t="s">
        <v>416</v>
      </c>
      <c r="M10" t="s">
        <v>416</v>
      </c>
      <c r="N10" t="s">
        <v>417</v>
      </c>
      <c r="Q10" t="s">
        <v>416</v>
      </c>
      <c r="R10" t="s">
        <v>238</v>
      </c>
      <c r="U10" t="s">
        <v>423</v>
      </c>
      <c r="V10" t="s">
        <v>502</v>
      </c>
      <c r="W10" t="s">
        <v>418</v>
      </c>
      <c r="X10" t="s">
        <v>418</v>
      </c>
      <c r="Y10" t="s">
        <v>418</v>
      </c>
      <c r="Z10">
        <f>IF(AND(H10="OUI", I10="OUI", J10="OUI"), "✅ COMPLET", "⚠️ À OPTIMISER")</f>
        <v>0</v>
      </c>
    </row>
    <row r="11" spans="1:26">
      <c r="A11">
        <v>10</v>
      </c>
      <c r="B11" t="s">
        <v>42</v>
      </c>
      <c r="C11" t="s">
        <v>245</v>
      </c>
      <c r="D11" t="s">
        <v>366</v>
      </c>
      <c r="E11" t="s">
        <v>377</v>
      </c>
      <c r="F11" t="s">
        <v>406</v>
      </c>
      <c r="G11">
        <f>IF(OR(E11&lt;5, H11="NON", I11="NON", J11="NON"), "HAUTE", "MOYENNE")</f>
        <v>0</v>
      </c>
      <c r="H11" t="s">
        <v>415</v>
      </c>
      <c r="I11" t="s">
        <v>415</v>
      </c>
      <c r="J11" t="s">
        <v>415</v>
      </c>
      <c r="L11" t="s">
        <v>416</v>
      </c>
      <c r="M11" t="s">
        <v>417</v>
      </c>
      <c r="N11" t="s">
        <v>417</v>
      </c>
      <c r="Q11" t="s">
        <v>416</v>
      </c>
      <c r="R11" t="s">
        <v>245</v>
      </c>
      <c r="U11" t="s">
        <v>427</v>
      </c>
      <c r="V11" t="s">
        <v>502</v>
      </c>
      <c r="W11" t="s">
        <v>511</v>
      </c>
      <c r="X11" t="s">
        <v>650</v>
      </c>
      <c r="Y11" t="s">
        <v>418</v>
      </c>
      <c r="Z11">
        <f>IF(AND(H11="OUI", I11="OUI", J11="OUI"), "✅ COMPLET", "⚠️ À OPTIMISER")</f>
        <v>0</v>
      </c>
    </row>
    <row r="12" spans="1:26">
      <c r="A12">
        <v>11</v>
      </c>
      <c r="B12" t="s">
        <v>43</v>
      </c>
      <c r="C12" t="s">
        <v>238</v>
      </c>
      <c r="D12" t="s">
        <v>366</v>
      </c>
      <c r="E12" t="s">
        <v>373</v>
      </c>
      <c r="F12" t="s">
        <v>408</v>
      </c>
      <c r="G12">
        <f>IF(OR(E12&lt;5, H12="NON", I12="NON", J12="NON"), "HAUTE", "MOYENNE")</f>
        <v>0</v>
      </c>
      <c r="H12" t="s">
        <v>373</v>
      </c>
      <c r="I12" t="s">
        <v>373</v>
      </c>
      <c r="J12" t="s">
        <v>415</v>
      </c>
      <c r="L12" t="s">
        <v>416</v>
      </c>
      <c r="M12" t="s">
        <v>416</v>
      </c>
      <c r="N12" t="s">
        <v>416</v>
      </c>
      <c r="Q12" t="s">
        <v>416</v>
      </c>
      <c r="R12" t="s">
        <v>238</v>
      </c>
      <c r="U12" t="s">
        <v>423</v>
      </c>
      <c r="V12" t="s">
        <v>502</v>
      </c>
      <c r="W12" t="s">
        <v>418</v>
      </c>
      <c r="X12" t="s">
        <v>418</v>
      </c>
      <c r="Y12" t="s">
        <v>418</v>
      </c>
      <c r="Z12">
        <f>IF(AND(H12="OUI", I12="OUI", J12="OUI"), "✅ COMPLET", "⚠️ À OPTIMISER")</f>
        <v>0</v>
      </c>
    </row>
    <row r="13" spans="1:26">
      <c r="A13">
        <v>12</v>
      </c>
      <c r="B13" t="s">
        <v>44</v>
      </c>
      <c r="C13" t="s">
        <v>246</v>
      </c>
      <c r="D13" t="s">
        <v>366</v>
      </c>
      <c r="E13" t="s">
        <v>378</v>
      </c>
      <c r="F13" t="s">
        <v>408</v>
      </c>
      <c r="G13">
        <f>IF(OR(E13&lt;5, H13="NON", I13="NON", J13="NON"), "HAUTE", "MOYENNE")</f>
        <v>0</v>
      </c>
      <c r="H13" t="s">
        <v>415</v>
      </c>
      <c r="I13" t="s">
        <v>415</v>
      </c>
      <c r="J13" t="s">
        <v>415</v>
      </c>
      <c r="L13" t="s">
        <v>416</v>
      </c>
      <c r="M13" t="s">
        <v>417</v>
      </c>
      <c r="N13" t="s">
        <v>417</v>
      </c>
      <c r="Q13" t="s">
        <v>416</v>
      </c>
      <c r="R13" t="s">
        <v>246</v>
      </c>
      <c r="U13" t="s">
        <v>428</v>
      </c>
      <c r="V13" t="s">
        <v>502</v>
      </c>
      <c r="W13" t="s">
        <v>512</v>
      </c>
      <c r="X13" t="s">
        <v>651</v>
      </c>
      <c r="Y13" t="s">
        <v>418</v>
      </c>
      <c r="Z13">
        <f>IF(AND(H13="OUI", I13="OUI", J13="OUI"), "✅ COMPLET", "⚠️ À OPTIMISER")</f>
        <v>0</v>
      </c>
    </row>
    <row r="14" spans="1:26">
      <c r="A14">
        <v>13</v>
      </c>
      <c r="B14" t="s">
        <v>45</v>
      </c>
      <c r="C14" t="s">
        <v>247</v>
      </c>
      <c r="D14" t="s">
        <v>366</v>
      </c>
      <c r="E14" t="s">
        <v>379</v>
      </c>
      <c r="F14" t="s">
        <v>408</v>
      </c>
      <c r="G14">
        <f>IF(OR(E14&lt;5, H14="NON", I14="NON", J14="NON"), "HAUTE", "MOYENNE")</f>
        <v>0</v>
      </c>
      <c r="H14" t="s">
        <v>415</v>
      </c>
      <c r="I14" t="s">
        <v>415</v>
      </c>
      <c r="J14" t="s">
        <v>415</v>
      </c>
      <c r="L14" t="s">
        <v>18</v>
      </c>
      <c r="M14" t="s">
        <v>417</v>
      </c>
      <c r="N14" t="s">
        <v>417</v>
      </c>
      <c r="Q14" t="s">
        <v>416</v>
      </c>
      <c r="R14" t="s">
        <v>247</v>
      </c>
      <c r="U14" t="s">
        <v>429</v>
      </c>
      <c r="V14" t="s">
        <v>502</v>
      </c>
      <c r="W14" t="s">
        <v>513</v>
      </c>
      <c r="X14" t="s">
        <v>652</v>
      </c>
      <c r="Y14" t="s">
        <v>418</v>
      </c>
      <c r="Z14">
        <f>IF(AND(H14="OUI", I14="OUI", J14="OUI"), "✅ COMPLET", "⚠️ À OPTIMISER")</f>
        <v>0</v>
      </c>
    </row>
    <row r="15" spans="1:26">
      <c r="A15">
        <v>14</v>
      </c>
      <c r="B15" t="s">
        <v>46</v>
      </c>
      <c r="C15" t="s">
        <v>248</v>
      </c>
      <c r="D15" t="s">
        <v>366</v>
      </c>
      <c r="E15" t="s">
        <v>375</v>
      </c>
      <c r="F15" t="s">
        <v>406</v>
      </c>
      <c r="G15">
        <f>IF(OR(E15&lt;5, H15="NON", I15="NON", J15="NON"), "HAUTE", "MOYENNE")</f>
        <v>0</v>
      </c>
      <c r="H15" t="s">
        <v>415</v>
      </c>
      <c r="I15" t="s">
        <v>415</v>
      </c>
      <c r="J15" t="s">
        <v>415</v>
      </c>
      <c r="L15" t="s">
        <v>416</v>
      </c>
      <c r="M15" t="s">
        <v>417</v>
      </c>
      <c r="N15" t="s">
        <v>417</v>
      </c>
      <c r="Q15" t="s">
        <v>416</v>
      </c>
      <c r="R15" t="s">
        <v>248</v>
      </c>
      <c r="U15" t="s">
        <v>430</v>
      </c>
      <c r="V15" t="s">
        <v>502</v>
      </c>
      <c r="W15" t="s">
        <v>514</v>
      </c>
      <c r="X15" t="s">
        <v>653</v>
      </c>
      <c r="Y15" t="s">
        <v>418</v>
      </c>
      <c r="Z15">
        <f>IF(AND(H15="OUI", I15="OUI", J15="OUI"), "✅ COMPLET", "⚠️ À OPTIMISER")</f>
        <v>0</v>
      </c>
    </row>
    <row r="16" spans="1:26">
      <c r="A16">
        <v>15</v>
      </c>
      <c r="B16" t="s">
        <v>47</v>
      </c>
      <c r="C16" t="s">
        <v>249</v>
      </c>
      <c r="D16" t="s">
        <v>366</v>
      </c>
      <c r="E16" t="s">
        <v>374</v>
      </c>
      <c r="F16" t="s">
        <v>409</v>
      </c>
      <c r="G16">
        <f>IF(OR(E16&lt;5, H16="NON", I16="NON", J16="NON"), "HAUTE", "MOYENNE")</f>
        <v>0</v>
      </c>
      <c r="H16" t="s">
        <v>415</v>
      </c>
      <c r="I16" t="s">
        <v>415</v>
      </c>
      <c r="J16" t="s">
        <v>415</v>
      </c>
      <c r="L16" t="s">
        <v>18</v>
      </c>
      <c r="M16" t="s">
        <v>417</v>
      </c>
      <c r="N16" t="s">
        <v>417</v>
      </c>
      <c r="Q16" t="s">
        <v>416</v>
      </c>
      <c r="R16" t="s">
        <v>249</v>
      </c>
      <c r="U16" t="s">
        <v>423</v>
      </c>
      <c r="V16" t="s">
        <v>502</v>
      </c>
      <c r="W16" t="s">
        <v>515</v>
      </c>
      <c r="X16" t="s">
        <v>654</v>
      </c>
      <c r="Y16" t="s">
        <v>418</v>
      </c>
      <c r="Z16">
        <f>IF(AND(H16="OUI", I16="OUI", J16="OUI"), "✅ COMPLET", "⚠️ À OPTIMISER")</f>
        <v>0</v>
      </c>
    </row>
    <row r="17" spans="1:26">
      <c r="A17">
        <v>16</v>
      </c>
      <c r="B17" t="s">
        <v>48</v>
      </c>
      <c r="C17" t="s">
        <v>250</v>
      </c>
      <c r="D17" t="s">
        <v>366</v>
      </c>
      <c r="E17" t="s">
        <v>376</v>
      </c>
      <c r="F17" t="s">
        <v>406</v>
      </c>
      <c r="G17">
        <f>IF(OR(E17&lt;5, H17="NON", I17="NON", J17="NON"), "HAUTE", "MOYENNE")</f>
        <v>0</v>
      </c>
      <c r="H17" t="s">
        <v>415</v>
      </c>
      <c r="I17" t="s">
        <v>415</v>
      </c>
      <c r="J17" t="s">
        <v>415</v>
      </c>
      <c r="L17" t="s">
        <v>18</v>
      </c>
      <c r="M17" t="s">
        <v>417</v>
      </c>
      <c r="N17" t="s">
        <v>417</v>
      </c>
      <c r="Q17" t="s">
        <v>416</v>
      </c>
      <c r="R17" t="s">
        <v>250</v>
      </c>
      <c r="U17" t="s">
        <v>431</v>
      </c>
      <c r="V17" t="s">
        <v>502</v>
      </c>
      <c r="W17" t="s">
        <v>516</v>
      </c>
      <c r="X17" t="s">
        <v>655</v>
      </c>
      <c r="Y17" t="s">
        <v>418</v>
      </c>
      <c r="Z17">
        <f>IF(AND(H17="OUI", I17="OUI", J17="OUI"), "✅ COMPLET", "⚠️ À OPTIMISER")</f>
        <v>0</v>
      </c>
    </row>
    <row r="18" spans="1:26">
      <c r="A18">
        <v>17</v>
      </c>
      <c r="B18" t="s">
        <v>49</v>
      </c>
      <c r="C18" t="s">
        <v>238</v>
      </c>
      <c r="D18" t="s">
        <v>366</v>
      </c>
      <c r="E18" t="s">
        <v>373</v>
      </c>
      <c r="F18" t="s">
        <v>408</v>
      </c>
      <c r="G18">
        <f>IF(OR(E18&lt;5, H18="NON", I18="NON", J18="NON"), "HAUTE", "MOYENNE")</f>
        <v>0</v>
      </c>
      <c r="H18" t="s">
        <v>373</v>
      </c>
      <c r="I18" t="s">
        <v>415</v>
      </c>
      <c r="J18" t="s">
        <v>373</v>
      </c>
      <c r="L18" t="s">
        <v>416</v>
      </c>
      <c r="M18" t="s">
        <v>416</v>
      </c>
      <c r="N18" t="s">
        <v>417</v>
      </c>
      <c r="Q18" t="s">
        <v>416</v>
      </c>
      <c r="R18" t="s">
        <v>238</v>
      </c>
      <c r="U18" t="s">
        <v>423</v>
      </c>
      <c r="V18" t="s">
        <v>502</v>
      </c>
      <c r="W18" t="s">
        <v>418</v>
      </c>
      <c r="X18" t="s">
        <v>418</v>
      </c>
      <c r="Y18" t="s">
        <v>418</v>
      </c>
      <c r="Z18">
        <f>IF(AND(H18="OUI", I18="OUI", J18="OUI"), "✅ COMPLET", "⚠️ À OPTIMISER")</f>
        <v>0</v>
      </c>
    </row>
    <row r="19" spans="1:26">
      <c r="A19">
        <v>18</v>
      </c>
      <c r="B19" t="s">
        <v>50</v>
      </c>
      <c r="C19" t="s">
        <v>251</v>
      </c>
      <c r="D19" t="s">
        <v>366</v>
      </c>
      <c r="E19" t="s">
        <v>380</v>
      </c>
      <c r="F19" t="s">
        <v>406</v>
      </c>
      <c r="G19">
        <f>IF(OR(E19&lt;5, H19="NON", I19="NON", J19="NON"), "HAUTE", "MOYENNE")</f>
        <v>0</v>
      </c>
      <c r="H19" t="s">
        <v>415</v>
      </c>
      <c r="I19" t="s">
        <v>415</v>
      </c>
      <c r="J19" t="s">
        <v>415</v>
      </c>
      <c r="L19" t="s">
        <v>416</v>
      </c>
      <c r="M19" t="s">
        <v>417</v>
      </c>
      <c r="N19" t="s">
        <v>417</v>
      </c>
      <c r="Q19" t="s">
        <v>416</v>
      </c>
      <c r="R19" t="s">
        <v>251</v>
      </c>
      <c r="U19" t="s">
        <v>432</v>
      </c>
      <c r="V19" t="s">
        <v>502</v>
      </c>
      <c r="W19" t="s">
        <v>517</v>
      </c>
      <c r="X19" t="s">
        <v>656</v>
      </c>
      <c r="Y19" t="s">
        <v>418</v>
      </c>
      <c r="Z19">
        <f>IF(AND(H19="OUI", I19="OUI", J19="OUI"), "✅ COMPLET", "⚠️ À OPTIMISER")</f>
        <v>0</v>
      </c>
    </row>
    <row r="20" spans="1:26">
      <c r="A20">
        <v>19</v>
      </c>
      <c r="B20" t="s">
        <v>51</v>
      </c>
      <c r="C20" t="s">
        <v>252</v>
      </c>
      <c r="D20" t="s">
        <v>366</v>
      </c>
      <c r="E20" t="s">
        <v>381</v>
      </c>
      <c r="F20" t="s">
        <v>408</v>
      </c>
      <c r="G20">
        <f>IF(OR(E20&lt;5, H20="NON", I20="NON", J20="NON"), "HAUTE", "MOYENNE")</f>
        <v>0</v>
      </c>
      <c r="H20" t="s">
        <v>415</v>
      </c>
      <c r="I20" t="s">
        <v>415</v>
      </c>
      <c r="J20" t="s">
        <v>415</v>
      </c>
      <c r="L20" t="s">
        <v>18</v>
      </c>
      <c r="M20" t="s">
        <v>417</v>
      </c>
      <c r="N20" t="s">
        <v>417</v>
      </c>
      <c r="Q20" t="s">
        <v>416</v>
      </c>
      <c r="R20" t="s">
        <v>252</v>
      </c>
      <c r="U20" t="s">
        <v>433</v>
      </c>
      <c r="V20" t="s">
        <v>502</v>
      </c>
      <c r="W20" t="s">
        <v>518</v>
      </c>
      <c r="X20" t="s">
        <v>657</v>
      </c>
      <c r="Y20" t="s">
        <v>418</v>
      </c>
      <c r="Z20">
        <f>IF(AND(H20="OUI", I20="OUI", J20="OUI"), "✅ COMPLET", "⚠️ À OPTIMISER")</f>
        <v>0</v>
      </c>
    </row>
    <row r="21" spans="1:26">
      <c r="A21">
        <v>20</v>
      </c>
      <c r="B21" t="s">
        <v>52</v>
      </c>
      <c r="C21" t="s">
        <v>253</v>
      </c>
      <c r="D21" t="s">
        <v>366</v>
      </c>
      <c r="E21" t="s">
        <v>382</v>
      </c>
      <c r="F21" t="s">
        <v>406</v>
      </c>
      <c r="G21">
        <f>IF(OR(E21&lt;5, H21="NON", I21="NON", J21="NON"), "HAUTE", "MOYENNE")</f>
        <v>0</v>
      </c>
      <c r="H21" t="s">
        <v>415</v>
      </c>
      <c r="I21" t="s">
        <v>415</v>
      </c>
      <c r="J21" t="s">
        <v>373</v>
      </c>
      <c r="L21" t="s">
        <v>416</v>
      </c>
      <c r="M21" t="s">
        <v>417</v>
      </c>
      <c r="N21" t="s">
        <v>417</v>
      </c>
      <c r="Q21" t="s">
        <v>416</v>
      </c>
      <c r="R21" t="s">
        <v>253</v>
      </c>
      <c r="U21" t="s">
        <v>434</v>
      </c>
      <c r="V21" t="s">
        <v>502</v>
      </c>
      <c r="W21" t="s">
        <v>519</v>
      </c>
      <c r="X21" t="s">
        <v>658</v>
      </c>
      <c r="Y21" t="s">
        <v>418</v>
      </c>
      <c r="Z21">
        <f>IF(AND(H21="OUI", I21="OUI", J21="OUI"), "✅ COMPLET", "⚠️ À OPTIMISER")</f>
        <v>0</v>
      </c>
    </row>
    <row r="22" spans="1:26">
      <c r="A22">
        <v>21</v>
      </c>
      <c r="B22" t="s">
        <v>53</v>
      </c>
      <c r="C22" t="s">
        <v>254</v>
      </c>
      <c r="D22" t="s">
        <v>366</v>
      </c>
      <c r="E22" t="s">
        <v>383</v>
      </c>
      <c r="F22" t="s">
        <v>408</v>
      </c>
      <c r="G22">
        <f>IF(OR(E22&lt;5, H22="NON", I22="NON", J22="NON"), "HAUTE", "MOYENNE")</f>
        <v>0</v>
      </c>
      <c r="H22" t="s">
        <v>415</v>
      </c>
      <c r="I22" t="s">
        <v>415</v>
      </c>
      <c r="J22" t="s">
        <v>415</v>
      </c>
      <c r="L22" t="s">
        <v>416</v>
      </c>
      <c r="M22" t="s">
        <v>417</v>
      </c>
      <c r="N22" t="s">
        <v>417</v>
      </c>
      <c r="Q22" t="s">
        <v>416</v>
      </c>
      <c r="R22" t="s">
        <v>254</v>
      </c>
      <c r="U22" t="s">
        <v>429</v>
      </c>
      <c r="V22" t="s">
        <v>502</v>
      </c>
      <c r="W22" t="s">
        <v>520</v>
      </c>
      <c r="X22" t="s">
        <v>659</v>
      </c>
      <c r="Y22" t="s">
        <v>418</v>
      </c>
      <c r="Z22">
        <f>IF(AND(H22="OUI", I22="OUI", J22="OUI"), "✅ COMPLET", "⚠️ À OPTIMISER")</f>
        <v>0</v>
      </c>
    </row>
    <row r="23" spans="1:26">
      <c r="A23">
        <v>22</v>
      </c>
      <c r="B23" t="s">
        <v>54</v>
      </c>
      <c r="C23" t="s">
        <v>255</v>
      </c>
      <c r="D23" t="s">
        <v>366</v>
      </c>
      <c r="E23" t="s">
        <v>377</v>
      </c>
      <c r="F23" t="s">
        <v>408</v>
      </c>
      <c r="G23">
        <f>IF(OR(E23&lt;5, H23="NON", I23="NON", J23="NON"), "HAUTE", "MOYENNE")</f>
        <v>0</v>
      </c>
      <c r="H23" t="s">
        <v>415</v>
      </c>
      <c r="I23" t="s">
        <v>415</v>
      </c>
      <c r="J23" t="s">
        <v>373</v>
      </c>
      <c r="L23" t="s">
        <v>416</v>
      </c>
      <c r="M23" t="s">
        <v>417</v>
      </c>
      <c r="N23" t="s">
        <v>417</v>
      </c>
      <c r="Q23" t="s">
        <v>416</v>
      </c>
      <c r="R23" t="s">
        <v>255</v>
      </c>
      <c r="U23" t="s">
        <v>435</v>
      </c>
      <c r="V23" t="s">
        <v>502</v>
      </c>
      <c r="W23" t="s">
        <v>521</v>
      </c>
      <c r="X23" t="s">
        <v>660</v>
      </c>
      <c r="Y23" t="s">
        <v>418</v>
      </c>
      <c r="Z23">
        <f>IF(AND(H23="OUI", I23="OUI", J23="OUI"), "✅ COMPLET", "⚠️ À OPTIMISER")</f>
        <v>0</v>
      </c>
    </row>
    <row r="24" spans="1:26">
      <c r="A24">
        <v>23</v>
      </c>
      <c r="B24" t="s">
        <v>55</v>
      </c>
      <c r="C24" t="s">
        <v>256</v>
      </c>
      <c r="D24" t="s">
        <v>366</v>
      </c>
      <c r="E24" t="s">
        <v>384</v>
      </c>
      <c r="F24" t="s">
        <v>406</v>
      </c>
      <c r="G24">
        <f>IF(OR(E24&lt;5, H24="NON", I24="NON", J24="NON"), "HAUTE", "MOYENNE")</f>
        <v>0</v>
      </c>
      <c r="H24" t="s">
        <v>415</v>
      </c>
      <c r="I24" t="s">
        <v>415</v>
      </c>
      <c r="J24" t="s">
        <v>415</v>
      </c>
      <c r="L24" t="s">
        <v>416</v>
      </c>
      <c r="M24" t="s">
        <v>417</v>
      </c>
      <c r="N24" t="s">
        <v>417</v>
      </c>
      <c r="Q24" t="s">
        <v>416</v>
      </c>
      <c r="R24" t="s">
        <v>256</v>
      </c>
      <c r="U24" t="s">
        <v>436</v>
      </c>
      <c r="V24" t="s">
        <v>502</v>
      </c>
      <c r="W24" t="s">
        <v>522</v>
      </c>
      <c r="X24" t="s">
        <v>661</v>
      </c>
      <c r="Y24" t="s">
        <v>418</v>
      </c>
      <c r="Z24">
        <f>IF(AND(H24="OUI", I24="OUI", J24="OUI"), "✅ COMPLET", "⚠️ À OPTIMISER")</f>
        <v>0</v>
      </c>
    </row>
    <row r="25" spans="1:26">
      <c r="A25">
        <v>24</v>
      </c>
      <c r="B25" t="s">
        <v>56</v>
      </c>
      <c r="C25" t="s">
        <v>257</v>
      </c>
      <c r="D25" t="s">
        <v>366</v>
      </c>
      <c r="E25" t="s">
        <v>378</v>
      </c>
      <c r="F25" t="s">
        <v>406</v>
      </c>
      <c r="G25">
        <f>IF(OR(E25&lt;5, H25="NON", I25="NON", J25="NON"), "HAUTE", "MOYENNE")</f>
        <v>0</v>
      </c>
      <c r="H25" t="s">
        <v>415</v>
      </c>
      <c r="I25" t="s">
        <v>415</v>
      </c>
      <c r="J25" t="s">
        <v>415</v>
      </c>
      <c r="L25" t="s">
        <v>416</v>
      </c>
      <c r="M25" t="s">
        <v>417</v>
      </c>
      <c r="N25" t="s">
        <v>417</v>
      </c>
      <c r="Q25" t="s">
        <v>416</v>
      </c>
      <c r="R25" t="s">
        <v>257</v>
      </c>
      <c r="U25" t="s">
        <v>437</v>
      </c>
      <c r="V25" t="s">
        <v>502</v>
      </c>
      <c r="W25" t="s">
        <v>523</v>
      </c>
      <c r="X25" t="s">
        <v>662</v>
      </c>
      <c r="Y25" t="s">
        <v>418</v>
      </c>
      <c r="Z25">
        <f>IF(AND(H25="OUI", I25="OUI", J25="OUI"), "✅ COMPLET", "⚠️ À OPTIMISER")</f>
        <v>0</v>
      </c>
    </row>
    <row r="26" spans="1:26">
      <c r="A26">
        <v>25</v>
      </c>
      <c r="B26" t="s">
        <v>57</v>
      </c>
      <c r="C26" t="s">
        <v>258</v>
      </c>
      <c r="D26" t="s">
        <v>366</v>
      </c>
      <c r="E26" t="s">
        <v>385</v>
      </c>
      <c r="F26" t="s">
        <v>406</v>
      </c>
      <c r="G26">
        <f>IF(OR(E26&lt;5, H26="NON", I26="NON", J26="NON"), "HAUTE", "MOYENNE")</f>
        <v>0</v>
      </c>
      <c r="H26" t="s">
        <v>415</v>
      </c>
      <c r="I26" t="s">
        <v>415</v>
      </c>
      <c r="J26" t="s">
        <v>415</v>
      </c>
      <c r="L26" t="s">
        <v>416</v>
      </c>
      <c r="M26" t="s">
        <v>417</v>
      </c>
      <c r="N26" t="s">
        <v>417</v>
      </c>
      <c r="Q26" t="s">
        <v>416</v>
      </c>
      <c r="R26" t="s">
        <v>258</v>
      </c>
      <c r="U26" t="s">
        <v>438</v>
      </c>
      <c r="V26" t="s">
        <v>502</v>
      </c>
      <c r="W26" t="s">
        <v>524</v>
      </c>
      <c r="X26" t="s">
        <v>663</v>
      </c>
      <c r="Y26" t="s">
        <v>418</v>
      </c>
      <c r="Z26">
        <f>IF(AND(H26="OUI", I26="OUI", J26="OUI"), "✅ COMPLET", "⚠️ À OPTIMISER")</f>
        <v>0</v>
      </c>
    </row>
    <row r="27" spans="1:26">
      <c r="A27">
        <v>26</v>
      </c>
      <c r="B27" t="s">
        <v>58</v>
      </c>
      <c r="C27" t="s">
        <v>259</v>
      </c>
      <c r="D27" t="s">
        <v>368</v>
      </c>
      <c r="E27" t="s">
        <v>373</v>
      </c>
      <c r="F27" t="s">
        <v>408</v>
      </c>
      <c r="G27">
        <f>IF(OR(E27&lt;5, H27="NON", I27="NON", J27="NON"), "HAUTE", "MOYENNE")</f>
        <v>0</v>
      </c>
      <c r="H27" t="s">
        <v>373</v>
      </c>
      <c r="I27" t="s">
        <v>415</v>
      </c>
      <c r="J27" t="s">
        <v>373</v>
      </c>
      <c r="L27" t="s">
        <v>416</v>
      </c>
      <c r="M27" t="s">
        <v>418</v>
      </c>
      <c r="N27" t="s">
        <v>418</v>
      </c>
      <c r="Q27" t="s">
        <v>416</v>
      </c>
      <c r="R27" t="s">
        <v>259</v>
      </c>
      <c r="U27" t="s">
        <v>423</v>
      </c>
      <c r="V27" t="s">
        <v>502</v>
      </c>
      <c r="W27" t="s">
        <v>525</v>
      </c>
      <c r="X27" t="s">
        <v>664</v>
      </c>
      <c r="Y27" t="s">
        <v>418</v>
      </c>
      <c r="Z27">
        <f>IF(AND(H27="OUI", I27="OUI", J27="OUI"), "✅ COMPLET", "⚠️ À OPTIMISER")</f>
        <v>0</v>
      </c>
    </row>
    <row r="28" spans="1:26">
      <c r="A28">
        <v>27</v>
      </c>
      <c r="B28" t="s">
        <v>59</v>
      </c>
      <c r="C28" t="s">
        <v>260</v>
      </c>
      <c r="D28" t="s">
        <v>366</v>
      </c>
      <c r="E28" t="s">
        <v>386</v>
      </c>
      <c r="F28" t="s">
        <v>406</v>
      </c>
      <c r="G28">
        <f>IF(OR(E28&lt;5, H28="NON", I28="NON", J28="NON"), "HAUTE", "MOYENNE")</f>
        <v>0</v>
      </c>
      <c r="H28" t="s">
        <v>415</v>
      </c>
      <c r="I28" t="s">
        <v>415</v>
      </c>
      <c r="J28" t="s">
        <v>415</v>
      </c>
      <c r="L28" t="s">
        <v>18</v>
      </c>
      <c r="M28" t="s">
        <v>417</v>
      </c>
      <c r="N28" t="s">
        <v>417</v>
      </c>
      <c r="Q28" t="s">
        <v>416</v>
      </c>
      <c r="R28" t="s">
        <v>260</v>
      </c>
      <c r="U28" t="s">
        <v>423</v>
      </c>
      <c r="V28" t="s">
        <v>502</v>
      </c>
      <c r="W28" t="s">
        <v>526</v>
      </c>
      <c r="X28" t="s">
        <v>665</v>
      </c>
      <c r="Y28" t="s">
        <v>418</v>
      </c>
      <c r="Z28">
        <f>IF(AND(H28="OUI", I28="OUI", J28="OUI"), "✅ COMPLET", "⚠️ À OPTIMISER")</f>
        <v>0</v>
      </c>
    </row>
    <row r="29" spans="1:26">
      <c r="A29">
        <v>28</v>
      </c>
      <c r="B29" t="s">
        <v>60</v>
      </c>
      <c r="C29" t="s">
        <v>261</v>
      </c>
      <c r="D29" t="s">
        <v>366</v>
      </c>
      <c r="E29" t="s">
        <v>387</v>
      </c>
      <c r="F29" t="s">
        <v>408</v>
      </c>
      <c r="G29">
        <f>IF(OR(E29&lt;5, H29="NON", I29="NON", J29="NON"), "HAUTE", "MOYENNE")</f>
        <v>0</v>
      </c>
      <c r="H29" t="s">
        <v>415</v>
      </c>
      <c r="I29" t="s">
        <v>415</v>
      </c>
      <c r="J29" t="s">
        <v>415</v>
      </c>
      <c r="L29" t="s">
        <v>416</v>
      </c>
      <c r="M29" t="s">
        <v>417</v>
      </c>
      <c r="N29" t="s">
        <v>417</v>
      </c>
      <c r="Q29" t="s">
        <v>416</v>
      </c>
      <c r="R29" t="s">
        <v>261</v>
      </c>
      <c r="U29" t="s">
        <v>439</v>
      </c>
      <c r="V29" t="s">
        <v>502</v>
      </c>
      <c r="W29" t="s">
        <v>527</v>
      </c>
      <c r="X29" t="s">
        <v>666</v>
      </c>
      <c r="Y29" t="s">
        <v>418</v>
      </c>
      <c r="Z29">
        <f>IF(AND(H29="OUI", I29="OUI", J29="OUI"), "✅ COMPLET", "⚠️ À OPTIMISER")</f>
        <v>0</v>
      </c>
    </row>
    <row r="30" spans="1:26">
      <c r="A30">
        <v>29</v>
      </c>
      <c r="B30" t="s">
        <v>61</v>
      </c>
      <c r="C30" t="s">
        <v>262</v>
      </c>
      <c r="D30" t="s">
        <v>366</v>
      </c>
      <c r="E30" t="s">
        <v>388</v>
      </c>
      <c r="F30" t="s">
        <v>408</v>
      </c>
      <c r="G30">
        <f>IF(OR(E30&lt;5, H30="NON", I30="NON", J30="NON"), "HAUTE", "MOYENNE")</f>
        <v>0</v>
      </c>
      <c r="H30" t="s">
        <v>415</v>
      </c>
      <c r="I30" t="s">
        <v>415</v>
      </c>
      <c r="J30" t="s">
        <v>373</v>
      </c>
      <c r="L30" t="s">
        <v>416</v>
      </c>
      <c r="M30" t="s">
        <v>417</v>
      </c>
      <c r="N30" t="s">
        <v>417</v>
      </c>
      <c r="Q30" t="s">
        <v>416</v>
      </c>
      <c r="R30" t="s">
        <v>262</v>
      </c>
      <c r="U30" t="s">
        <v>440</v>
      </c>
      <c r="V30" t="s">
        <v>502</v>
      </c>
      <c r="W30" t="s">
        <v>514</v>
      </c>
      <c r="X30" t="s">
        <v>667</v>
      </c>
      <c r="Y30" t="s">
        <v>418</v>
      </c>
      <c r="Z30">
        <f>IF(AND(H30="OUI", I30="OUI", J30="OUI"), "✅ COMPLET", "⚠️ À OPTIMISER")</f>
        <v>0</v>
      </c>
    </row>
    <row r="31" spans="1:26">
      <c r="A31">
        <v>30</v>
      </c>
      <c r="B31" t="s">
        <v>62</v>
      </c>
      <c r="C31" t="s">
        <v>263</v>
      </c>
      <c r="D31" t="s">
        <v>367</v>
      </c>
      <c r="E31" t="s">
        <v>389</v>
      </c>
      <c r="F31" t="s">
        <v>409</v>
      </c>
      <c r="G31">
        <f>IF(OR(E31&lt;5, H31="NON", I31="NON", J31="NON"), "HAUTE", "MOYENNE")</f>
        <v>0</v>
      </c>
      <c r="H31" t="s">
        <v>415</v>
      </c>
      <c r="I31" t="s">
        <v>415</v>
      </c>
      <c r="J31" t="s">
        <v>415</v>
      </c>
      <c r="L31" t="s">
        <v>18</v>
      </c>
      <c r="M31" t="s">
        <v>417</v>
      </c>
      <c r="N31" t="s">
        <v>417</v>
      </c>
      <c r="Q31" t="s">
        <v>416</v>
      </c>
      <c r="R31" t="s">
        <v>263</v>
      </c>
      <c r="U31" t="s">
        <v>423</v>
      </c>
      <c r="V31" t="s">
        <v>502</v>
      </c>
      <c r="W31" t="s">
        <v>528</v>
      </c>
      <c r="X31" t="s">
        <v>668</v>
      </c>
      <c r="Y31" t="s">
        <v>418</v>
      </c>
      <c r="Z31">
        <f>IF(AND(H31="OUI", I31="OUI", J31="OUI"), "✅ COMPLET", "⚠️ À OPTIMISER")</f>
        <v>0</v>
      </c>
    </row>
    <row r="32" spans="1:26">
      <c r="A32">
        <v>31</v>
      </c>
      <c r="B32" t="s">
        <v>63</v>
      </c>
      <c r="C32" t="s">
        <v>264</v>
      </c>
      <c r="D32" t="s">
        <v>366</v>
      </c>
      <c r="E32" t="s">
        <v>390</v>
      </c>
      <c r="F32" t="s">
        <v>408</v>
      </c>
      <c r="G32">
        <f>IF(OR(E32&lt;5, H32="NON", I32="NON", J32="NON"), "HAUTE", "MOYENNE")</f>
        <v>0</v>
      </c>
      <c r="H32" t="s">
        <v>415</v>
      </c>
      <c r="I32" t="s">
        <v>415</v>
      </c>
      <c r="J32" t="s">
        <v>415</v>
      </c>
      <c r="L32" t="s">
        <v>416</v>
      </c>
      <c r="M32" t="s">
        <v>417</v>
      </c>
      <c r="N32" t="s">
        <v>417</v>
      </c>
      <c r="Q32" t="s">
        <v>416</v>
      </c>
      <c r="R32" t="s">
        <v>264</v>
      </c>
      <c r="U32" t="s">
        <v>441</v>
      </c>
      <c r="V32" t="s">
        <v>502</v>
      </c>
      <c r="W32" t="s">
        <v>529</v>
      </c>
      <c r="X32" t="s">
        <v>669</v>
      </c>
      <c r="Y32" t="s">
        <v>418</v>
      </c>
      <c r="Z32">
        <f>IF(AND(H32="OUI", I32="OUI", J32="OUI"), "✅ COMPLET", "⚠️ À OPTIMISER")</f>
        <v>0</v>
      </c>
    </row>
    <row r="33" spans="1:26">
      <c r="A33">
        <v>32</v>
      </c>
      <c r="B33" t="s">
        <v>64</v>
      </c>
      <c r="C33" t="s">
        <v>265</v>
      </c>
      <c r="D33" t="s">
        <v>366</v>
      </c>
      <c r="E33" t="s">
        <v>391</v>
      </c>
      <c r="F33" t="s">
        <v>409</v>
      </c>
      <c r="G33">
        <f>IF(OR(E33&lt;5, H33="NON", I33="NON", J33="NON"), "HAUTE", "MOYENNE")</f>
        <v>0</v>
      </c>
      <c r="H33" t="s">
        <v>415</v>
      </c>
      <c r="I33" t="s">
        <v>415</v>
      </c>
      <c r="J33" t="s">
        <v>415</v>
      </c>
      <c r="L33" t="s">
        <v>416</v>
      </c>
      <c r="M33" t="s">
        <v>417</v>
      </c>
      <c r="N33" t="s">
        <v>417</v>
      </c>
      <c r="Q33" t="s">
        <v>416</v>
      </c>
      <c r="R33" t="s">
        <v>265</v>
      </c>
      <c r="U33" t="s">
        <v>442</v>
      </c>
      <c r="V33" t="s">
        <v>502</v>
      </c>
      <c r="W33" t="s">
        <v>530</v>
      </c>
      <c r="X33" t="s">
        <v>670</v>
      </c>
      <c r="Y33" t="s">
        <v>418</v>
      </c>
      <c r="Z33">
        <f>IF(AND(H33="OUI", I33="OUI", J33="OUI"), "✅ COMPLET", "⚠️ À OPTIMISER")</f>
        <v>0</v>
      </c>
    </row>
    <row r="34" spans="1:26">
      <c r="A34">
        <v>33</v>
      </c>
      <c r="B34" t="s">
        <v>65</v>
      </c>
      <c r="C34" t="s">
        <v>266</v>
      </c>
      <c r="D34" t="s">
        <v>366</v>
      </c>
      <c r="E34" t="s">
        <v>392</v>
      </c>
      <c r="F34" t="s">
        <v>409</v>
      </c>
      <c r="G34">
        <f>IF(OR(E34&lt;5, H34="NON", I34="NON", J34="NON"), "HAUTE", "MOYENNE")</f>
        <v>0</v>
      </c>
      <c r="H34" t="s">
        <v>415</v>
      </c>
      <c r="I34" t="s">
        <v>415</v>
      </c>
      <c r="J34" t="s">
        <v>415</v>
      </c>
      <c r="L34" t="s">
        <v>416</v>
      </c>
      <c r="M34" t="s">
        <v>417</v>
      </c>
      <c r="N34" t="s">
        <v>417</v>
      </c>
      <c r="Q34" t="s">
        <v>416</v>
      </c>
      <c r="R34" t="s">
        <v>266</v>
      </c>
      <c r="U34" t="s">
        <v>423</v>
      </c>
      <c r="V34" t="s">
        <v>502</v>
      </c>
      <c r="W34" t="s">
        <v>531</v>
      </c>
      <c r="X34" t="s">
        <v>671</v>
      </c>
      <c r="Y34" t="s">
        <v>418</v>
      </c>
      <c r="Z34">
        <f>IF(AND(H34="OUI", I34="OUI", J34="OUI"), "✅ COMPLET", "⚠️ À OPTIMISER")</f>
        <v>0</v>
      </c>
    </row>
    <row r="35" spans="1:26">
      <c r="A35">
        <v>34</v>
      </c>
      <c r="B35" t="s">
        <v>66</v>
      </c>
      <c r="C35" t="s">
        <v>267</v>
      </c>
      <c r="D35" t="s">
        <v>366</v>
      </c>
      <c r="E35" t="s">
        <v>387</v>
      </c>
      <c r="F35" t="s">
        <v>406</v>
      </c>
      <c r="G35">
        <f>IF(OR(E35&lt;5, H35="NON", I35="NON", J35="NON"), "HAUTE", "MOYENNE")</f>
        <v>0</v>
      </c>
      <c r="H35" t="s">
        <v>415</v>
      </c>
      <c r="I35" t="s">
        <v>415</v>
      </c>
      <c r="J35" t="s">
        <v>415</v>
      </c>
      <c r="L35" t="s">
        <v>416</v>
      </c>
      <c r="M35" t="s">
        <v>417</v>
      </c>
      <c r="N35" t="s">
        <v>417</v>
      </c>
      <c r="Q35" t="s">
        <v>416</v>
      </c>
      <c r="R35" t="s">
        <v>267</v>
      </c>
      <c r="U35" t="s">
        <v>443</v>
      </c>
      <c r="V35" t="s">
        <v>502</v>
      </c>
      <c r="W35" t="s">
        <v>532</v>
      </c>
      <c r="X35" t="s">
        <v>672</v>
      </c>
      <c r="Y35" t="s">
        <v>418</v>
      </c>
      <c r="Z35">
        <f>IF(AND(H35="OUI", I35="OUI", J35="OUI"), "✅ COMPLET", "⚠️ À OPTIMISER")</f>
        <v>0</v>
      </c>
    </row>
    <row r="36" spans="1:26">
      <c r="A36">
        <v>35</v>
      </c>
      <c r="B36" t="s">
        <v>67</v>
      </c>
      <c r="C36" t="s">
        <v>268</v>
      </c>
      <c r="D36" t="s">
        <v>366</v>
      </c>
      <c r="E36" t="s">
        <v>377</v>
      </c>
      <c r="F36" t="s">
        <v>408</v>
      </c>
      <c r="G36">
        <f>IF(OR(E36&lt;5, H36="NON", I36="NON", J36="NON"), "HAUTE", "MOYENNE")</f>
        <v>0</v>
      </c>
      <c r="H36" t="s">
        <v>415</v>
      </c>
      <c r="I36" t="s">
        <v>415</v>
      </c>
      <c r="J36" t="s">
        <v>373</v>
      </c>
      <c r="L36" t="s">
        <v>416</v>
      </c>
      <c r="M36" t="s">
        <v>417</v>
      </c>
      <c r="N36" t="s">
        <v>417</v>
      </c>
      <c r="Q36" t="s">
        <v>416</v>
      </c>
      <c r="R36" t="s">
        <v>268</v>
      </c>
      <c r="U36" t="s">
        <v>424</v>
      </c>
      <c r="V36" t="s">
        <v>502</v>
      </c>
      <c r="W36" t="s">
        <v>533</v>
      </c>
      <c r="X36" t="s">
        <v>673</v>
      </c>
      <c r="Y36" t="s">
        <v>418</v>
      </c>
      <c r="Z36">
        <f>IF(AND(H36="OUI", I36="OUI", J36="OUI"), "✅ COMPLET", "⚠️ À OPTIMISER")</f>
        <v>0</v>
      </c>
    </row>
    <row r="37" spans="1:26">
      <c r="A37">
        <v>36</v>
      </c>
      <c r="B37" t="s">
        <v>68</v>
      </c>
      <c r="C37" t="s">
        <v>269</v>
      </c>
      <c r="D37" t="s">
        <v>366</v>
      </c>
      <c r="E37" t="s">
        <v>378</v>
      </c>
      <c r="F37" t="s">
        <v>408</v>
      </c>
      <c r="G37">
        <f>IF(OR(E37&lt;5, H37="NON", I37="NON", J37="NON"), "HAUTE", "MOYENNE")</f>
        <v>0</v>
      </c>
      <c r="H37" t="s">
        <v>415</v>
      </c>
      <c r="I37" t="s">
        <v>415</v>
      </c>
      <c r="J37" t="s">
        <v>415</v>
      </c>
      <c r="L37" t="s">
        <v>416</v>
      </c>
      <c r="M37" t="s">
        <v>417</v>
      </c>
      <c r="N37" t="s">
        <v>417</v>
      </c>
      <c r="Q37" t="s">
        <v>416</v>
      </c>
      <c r="R37" t="s">
        <v>269</v>
      </c>
      <c r="U37" t="s">
        <v>444</v>
      </c>
      <c r="V37" t="s">
        <v>502</v>
      </c>
      <c r="W37" t="s">
        <v>534</v>
      </c>
      <c r="X37" t="s">
        <v>674</v>
      </c>
      <c r="Y37" t="s">
        <v>418</v>
      </c>
      <c r="Z37">
        <f>IF(AND(H37="OUI", I37="OUI", J37="OUI"), "✅ COMPLET", "⚠️ À OPTIMISER")</f>
        <v>0</v>
      </c>
    </row>
    <row r="38" spans="1:26">
      <c r="A38">
        <v>37</v>
      </c>
      <c r="B38" t="s">
        <v>69</v>
      </c>
      <c r="C38" t="s">
        <v>270</v>
      </c>
      <c r="D38" t="s">
        <v>366</v>
      </c>
      <c r="E38" t="s">
        <v>381</v>
      </c>
      <c r="F38" t="s">
        <v>408</v>
      </c>
      <c r="G38">
        <f>IF(OR(E38&lt;5, H38="NON", I38="NON", J38="NON"), "HAUTE", "MOYENNE")</f>
        <v>0</v>
      </c>
      <c r="H38" t="s">
        <v>415</v>
      </c>
      <c r="I38" t="s">
        <v>415</v>
      </c>
      <c r="J38" t="s">
        <v>415</v>
      </c>
      <c r="L38" t="s">
        <v>18</v>
      </c>
      <c r="M38" t="s">
        <v>417</v>
      </c>
      <c r="N38" t="s">
        <v>417</v>
      </c>
      <c r="Q38" t="s">
        <v>416</v>
      </c>
      <c r="R38" t="s">
        <v>270</v>
      </c>
      <c r="U38" t="s">
        <v>445</v>
      </c>
      <c r="V38" t="s">
        <v>502</v>
      </c>
      <c r="W38" t="s">
        <v>535</v>
      </c>
      <c r="X38" t="s">
        <v>675</v>
      </c>
      <c r="Y38" t="s">
        <v>418</v>
      </c>
      <c r="Z38">
        <f>IF(AND(H38="OUI", I38="OUI", J38="OUI"), "✅ COMPLET", "⚠️ À OPTIMISER")</f>
        <v>0</v>
      </c>
    </row>
    <row r="39" spans="1:26">
      <c r="A39">
        <v>38</v>
      </c>
      <c r="B39" t="s">
        <v>70</v>
      </c>
      <c r="C39" t="s">
        <v>271</v>
      </c>
      <c r="D39" t="s">
        <v>366</v>
      </c>
      <c r="E39" t="s">
        <v>374</v>
      </c>
      <c r="F39" t="s">
        <v>408</v>
      </c>
      <c r="G39">
        <f>IF(OR(E39&lt;5, H39="NON", I39="NON", J39="NON"), "HAUTE", "MOYENNE")</f>
        <v>0</v>
      </c>
      <c r="H39" t="s">
        <v>415</v>
      </c>
      <c r="I39" t="s">
        <v>415</v>
      </c>
      <c r="J39" t="s">
        <v>415</v>
      </c>
      <c r="L39" t="s">
        <v>18</v>
      </c>
      <c r="M39" t="s">
        <v>417</v>
      </c>
      <c r="N39" t="s">
        <v>417</v>
      </c>
      <c r="Q39" t="s">
        <v>416</v>
      </c>
      <c r="R39" t="s">
        <v>271</v>
      </c>
      <c r="U39" t="s">
        <v>446</v>
      </c>
      <c r="V39" t="s">
        <v>502</v>
      </c>
      <c r="W39" t="s">
        <v>536</v>
      </c>
      <c r="X39" t="s">
        <v>676</v>
      </c>
      <c r="Y39" t="s">
        <v>418</v>
      </c>
      <c r="Z39">
        <f>IF(AND(H39="OUI", I39="OUI", J39="OUI"), "✅ COMPLET", "⚠️ À OPTIMISER")</f>
        <v>0</v>
      </c>
    </row>
    <row r="40" spans="1:26">
      <c r="A40">
        <v>39</v>
      </c>
      <c r="B40" t="s">
        <v>71</v>
      </c>
      <c r="C40" t="s">
        <v>272</v>
      </c>
      <c r="D40" t="s">
        <v>367</v>
      </c>
      <c r="E40" t="s">
        <v>374</v>
      </c>
      <c r="F40" t="s">
        <v>409</v>
      </c>
      <c r="G40">
        <f>IF(OR(E40&lt;5, H40="NON", I40="NON", J40="NON"), "HAUTE", "MOYENNE")</f>
        <v>0</v>
      </c>
      <c r="H40" t="s">
        <v>415</v>
      </c>
      <c r="I40" t="s">
        <v>415</v>
      </c>
      <c r="J40" t="s">
        <v>415</v>
      </c>
      <c r="L40" t="s">
        <v>18</v>
      </c>
      <c r="M40" t="s">
        <v>417</v>
      </c>
      <c r="N40" t="s">
        <v>417</v>
      </c>
      <c r="Q40" t="s">
        <v>416</v>
      </c>
      <c r="R40" t="s">
        <v>272</v>
      </c>
      <c r="U40" t="s">
        <v>447</v>
      </c>
      <c r="V40" t="s">
        <v>502</v>
      </c>
      <c r="W40" t="s">
        <v>537</v>
      </c>
      <c r="X40" t="s">
        <v>677</v>
      </c>
      <c r="Y40" t="s">
        <v>418</v>
      </c>
      <c r="Z40">
        <f>IF(AND(H40="OUI", I40="OUI", J40="OUI"), "✅ COMPLET", "⚠️ À OPTIMISER")</f>
        <v>0</v>
      </c>
    </row>
    <row r="41" spans="1:26">
      <c r="A41">
        <v>40</v>
      </c>
      <c r="B41" t="s">
        <v>72</v>
      </c>
      <c r="C41" t="s">
        <v>273</v>
      </c>
      <c r="D41" t="s">
        <v>366</v>
      </c>
      <c r="E41" t="s">
        <v>381</v>
      </c>
      <c r="F41" t="s">
        <v>408</v>
      </c>
      <c r="G41">
        <f>IF(OR(E41&lt;5, H41="NON", I41="NON", J41="NON"), "HAUTE", "MOYENNE")</f>
        <v>0</v>
      </c>
      <c r="H41" t="s">
        <v>415</v>
      </c>
      <c r="I41" t="s">
        <v>415</v>
      </c>
      <c r="J41" t="s">
        <v>415</v>
      </c>
      <c r="L41" t="s">
        <v>416</v>
      </c>
      <c r="M41" t="s">
        <v>417</v>
      </c>
      <c r="N41" t="s">
        <v>417</v>
      </c>
      <c r="Q41" t="s">
        <v>416</v>
      </c>
      <c r="R41" t="s">
        <v>273</v>
      </c>
      <c r="U41" t="s">
        <v>448</v>
      </c>
      <c r="V41" t="s">
        <v>502</v>
      </c>
      <c r="W41" t="s">
        <v>538</v>
      </c>
      <c r="X41" t="s">
        <v>678</v>
      </c>
      <c r="Y41" t="s">
        <v>418</v>
      </c>
      <c r="Z41">
        <f>IF(AND(H41="OUI", I41="OUI", J41="OUI"), "✅ COMPLET", "⚠️ À OPTIMISER")</f>
        <v>0</v>
      </c>
    </row>
    <row r="42" spans="1:26">
      <c r="A42">
        <v>41</v>
      </c>
      <c r="B42" t="s">
        <v>73</v>
      </c>
      <c r="C42" t="s">
        <v>274</v>
      </c>
      <c r="D42" t="s">
        <v>366</v>
      </c>
      <c r="E42" t="s">
        <v>382</v>
      </c>
      <c r="F42" t="s">
        <v>406</v>
      </c>
      <c r="G42">
        <f>IF(OR(E42&lt;5, H42="NON", I42="NON", J42="NON"), "HAUTE", "MOYENNE")</f>
        <v>0</v>
      </c>
      <c r="H42" t="s">
        <v>415</v>
      </c>
      <c r="I42" t="s">
        <v>415</v>
      </c>
      <c r="J42" t="s">
        <v>415</v>
      </c>
      <c r="L42" t="s">
        <v>416</v>
      </c>
      <c r="M42" t="s">
        <v>417</v>
      </c>
      <c r="N42" t="s">
        <v>417</v>
      </c>
      <c r="Q42" t="s">
        <v>416</v>
      </c>
      <c r="R42" t="s">
        <v>274</v>
      </c>
      <c r="U42" t="s">
        <v>449</v>
      </c>
      <c r="V42" t="s">
        <v>502</v>
      </c>
      <c r="W42" t="s">
        <v>539</v>
      </c>
      <c r="X42" t="s">
        <v>679</v>
      </c>
      <c r="Y42" t="s">
        <v>418</v>
      </c>
      <c r="Z42">
        <f>IF(AND(H42="OUI", I42="OUI", J42="OUI"), "✅ COMPLET", "⚠️ À OPTIMISER")</f>
        <v>0</v>
      </c>
    </row>
    <row r="43" spans="1:26">
      <c r="A43">
        <v>42</v>
      </c>
      <c r="B43" t="s">
        <v>74</v>
      </c>
      <c r="G43">
        <f>IF(OR(E43&lt;5, H43="NON", I43="NON", J43="NON"), "HAUTE", "MOYENNE")</f>
        <v>0</v>
      </c>
      <c r="H43">
        <f>IF(OR(E43&lt;5, H43="NON", I43="NON", J43="NON"), "HAUTE", "MOYENNE")</f>
        <v>0</v>
      </c>
      <c r="I43" t="s">
        <v>373</v>
      </c>
      <c r="J43" t="s">
        <v>415</v>
      </c>
      <c r="K43" t="s">
        <v>373</v>
      </c>
      <c r="M43" t="s">
        <v>416</v>
      </c>
      <c r="N43" t="s">
        <v>416</v>
      </c>
      <c r="O43" t="s">
        <v>417</v>
      </c>
      <c r="R43" t="s">
        <v>416</v>
      </c>
      <c r="V43" t="s">
        <v>416</v>
      </c>
      <c r="W43" t="s">
        <v>502</v>
      </c>
      <c r="X43" t="s">
        <v>680</v>
      </c>
      <c r="Y43" t="s">
        <v>771</v>
      </c>
      <c r="Z43">
        <f>IF(AND(H43="OUI", I43="OUI", J43="OUI"), "✅ COMPLET", "⚠️ À OPTIMISER")</f>
        <v>0</v>
      </c>
    </row>
    <row r="44" spans="1:26">
      <c r="A44">
        <v>43</v>
      </c>
      <c r="B44" t="s">
        <v>75</v>
      </c>
      <c r="C44" t="s">
        <v>265</v>
      </c>
      <c r="D44" t="s">
        <v>366</v>
      </c>
      <c r="E44" t="s">
        <v>393</v>
      </c>
      <c r="F44" t="s">
        <v>408</v>
      </c>
      <c r="G44">
        <f>IF(OR(E44&lt;5, H44="NON", I44="NON", J44="NON"), "HAUTE", "MOYENNE")</f>
        <v>0</v>
      </c>
      <c r="H44" t="s">
        <v>415</v>
      </c>
      <c r="I44" t="s">
        <v>415</v>
      </c>
      <c r="J44" t="s">
        <v>415</v>
      </c>
      <c r="L44" t="s">
        <v>18</v>
      </c>
      <c r="M44" t="s">
        <v>417</v>
      </c>
      <c r="N44" t="s">
        <v>417</v>
      </c>
      <c r="Q44" t="s">
        <v>416</v>
      </c>
      <c r="R44" t="s">
        <v>265</v>
      </c>
      <c r="U44" t="s">
        <v>450</v>
      </c>
      <c r="V44" t="s">
        <v>502</v>
      </c>
      <c r="W44" t="s">
        <v>540</v>
      </c>
      <c r="X44" t="s">
        <v>681</v>
      </c>
      <c r="Y44" t="s">
        <v>418</v>
      </c>
      <c r="Z44">
        <f>IF(AND(H44="OUI", I44="OUI", J44="OUI"), "✅ COMPLET", "⚠️ À OPTIMISER")</f>
        <v>0</v>
      </c>
    </row>
    <row r="45" spans="1:26">
      <c r="A45">
        <v>44</v>
      </c>
      <c r="B45" t="s">
        <v>76</v>
      </c>
      <c r="C45" t="s">
        <v>275</v>
      </c>
      <c r="D45" t="s">
        <v>366</v>
      </c>
      <c r="E45" t="s">
        <v>391</v>
      </c>
      <c r="F45" t="s">
        <v>408</v>
      </c>
      <c r="G45">
        <f>IF(OR(E45&lt;5, H45="NON", I45="NON", J45="NON"), "HAUTE", "MOYENNE")</f>
        <v>0</v>
      </c>
      <c r="H45" t="s">
        <v>415</v>
      </c>
      <c r="I45" t="s">
        <v>415</v>
      </c>
      <c r="J45" t="s">
        <v>415</v>
      </c>
      <c r="L45" t="s">
        <v>416</v>
      </c>
      <c r="M45" t="s">
        <v>417</v>
      </c>
      <c r="N45" t="s">
        <v>417</v>
      </c>
      <c r="Q45" t="s">
        <v>416</v>
      </c>
      <c r="R45" t="s">
        <v>275</v>
      </c>
      <c r="U45" t="s">
        <v>437</v>
      </c>
      <c r="V45" t="s">
        <v>502</v>
      </c>
      <c r="W45" t="s">
        <v>541</v>
      </c>
      <c r="X45" t="s">
        <v>682</v>
      </c>
      <c r="Y45" t="s">
        <v>418</v>
      </c>
      <c r="Z45">
        <f>IF(AND(H45="OUI", I45="OUI", J45="OUI"), "✅ COMPLET", "⚠️ À OPTIMISER")</f>
        <v>0</v>
      </c>
    </row>
    <row r="46" spans="1:26">
      <c r="A46">
        <v>45</v>
      </c>
      <c r="B46" t="s">
        <v>77</v>
      </c>
      <c r="C46" t="s">
        <v>258</v>
      </c>
      <c r="D46" t="s">
        <v>366</v>
      </c>
      <c r="E46" t="s">
        <v>381</v>
      </c>
      <c r="F46" t="s">
        <v>408</v>
      </c>
      <c r="G46">
        <f>IF(OR(E46&lt;5, H46="NON", I46="NON", J46="NON"), "HAUTE", "MOYENNE")</f>
        <v>0</v>
      </c>
      <c r="H46" t="s">
        <v>415</v>
      </c>
      <c r="I46" t="s">
        <v>373</v>
      </c>
      <c r="J46" t="s">
        <v>373</v>
      </c>
      <c r="L46" t="s">
        <v>416</v>
      </c>
      <c r="M46" t="s">
        <v>417</v>
      </c>
      <c r="N46" t="s">
        <v>416</v>
      </c>
      <c r="Q46" t="s">
        <v>416</v>
      </c>
      <c r="R46" t="s">
        <v>258</v>
      </c>
      <c r="U46" t="s">
        <v>451</v>
      </c>
      <c r="V46" t="s">
        <v>502</v>
      </c>
      <c r="W46" t="s">
        <v>542</v>
      </c>
      <c r="X46" t="s">
        <v>683</v>
      </c>
      <c r="Y46" t="s">
        <v>418</v>
      </c>
      <c r="Z46">
        <f>IF(AND(H46="OUI", I46="OUI", J46="OUI"), "✅ COMPLET", "⚠️ À OPTIMISER")</f>
        <v>0</v>
      </c>
    </row>
    <row r="47" spans="1:26">
      <c r="A47">
        <v>46</v>
      </c>
      <c r="B47" t="s">
        <v>78</v>
      </c>
      <c r="C47" t="s">
        <v>276</v>
      </c>
      <c r="D47" t="s">
        <v>366</v>
      </c>
      <c r="E47" t="s">
        <v>379</v>
      </c>
      <c r="F47" t="s">
        <v>406</v>
      </c>
      <c r="G47">
        <f>IF(OR(E47&lt;5, H47="NON", I47="NON", J47="NON"), "HAUTE", "MOYENNE")</f>
        <v>0</v>
      </c>
      <c r="H47" t="s">
        <v>415</v>
      </c>
      <c r="I47" t="s">
        <v>415</v>
      </c>
      <c r="J47" t="s">
        <v>415</v>
      </c>
      <c r="L47" t="s">
        <v>18</v>
      </c>
      <c r="M47" t="s">
        <v>417</v>
      </c>
      <c r="N47" t="s">
        <v>417</v>
      </c>
      <c r="Q47" t="s">
        <v>416</v>
      </c>
      <c r="R47" t="s">
        <v>276</v>
      </c>
      <c r="U47" t="s">
        <v>422</v>
      </c>
      <c r="V47" t="s">
        <v>502</v>
      </c>
      <c r="W47" t="s">
        <v>543</v>
      </c>
      <c r="X47" t="s">
        <v>684</v>
      </c>
      <c r="Y47" t="s">
        <v>418</v>
      </c>
      <c r="Z47">
        <f>IF(AND(H47="OUI", I47="OUI", J47="OUI"), "✅ COMPLET", "⚠️ À OPTIMISER")</f>
        <v>0</v>
      </c>
    </row>
    <row r="48" spans="1:26">
      <c r="A48">
        <v>47</v>
      </c>
      <c r="B48" t="s">
        <v>79</v>
      </c>
      <c r="C48" t="s">
        <v>277</v>
      </c>
      <c r="D48" t="s">
        <v>366</v>
      </c>
      <c r="E48" t="s">
        <v>373</v>
      </c>
      <c r="F48" t="s">
        <v>5</v>
      </c>
      <c r="G48">
        <f>IF(OR(E48&lt;5, H48="NON", I48="NON", J48="NON"), "HAUTE", "MOYENNE")</f>
        <v>0</v>
      </c>
      <c r="H48" t="s">
        <v>373</v>
      </c>
      <c r="I48" t="s">
        <v>415</v>
      </c>
      <c r="J48" t="s">
        <v>373</v>
      </c>
      <c r="L48" t="s">
        <v>416</v>
      </c>
      <c r="M48" t="s">
        <v>416</v>
      </c>
      <c r="N48" t="s">
        <v>417</v>
      </c>
      <c r="Q48" t="s">
        <v>416</v>
      </c>
      <c r="R48" t="s">
        <v>277</v>
      </c>
      <c r="U48" t="s">
        <v>423</v>
      </c>
      <c r="V48" t="s">
        <v>502</v>
      </c>
      <c r="W48" t="s">
        <v>544</v>
      </c>
      <c r="X48" t="s">
        <v>418</v>
      </c>
      <c r="Y48" t="s">
        <v>418</v>
      </c>
      <c r="Z48">
        <f>IF(AND(H48="OUI", I48="OUI", J48="OUI"), "✅ COMPLET", "⚠️ À OPTIMISER")</f>
        <v>0</v>
      </c>
    </row>
    <row r="49" spans="1:26">
      <c r="A49">
        <v>48</v>
      </c>
      <c r="B49" t="s">
        <v>80</v>
      </c>
      <c r="C49" t="s">
        <v>278</v>
      </c>
      <c r="D49" t="s">
        <v>366</v>
      </c>
      <c r="E49" t="s">
        <v>378</v>
      </c>
      <c r="F49" t="s">
        <v>408</v>
      </c>
      <c r="G49">
        <f>IF(OR(E49&lt;5, H49="NON", I49="NON", J49="NON"), "HAUTE", "MOYENNE")</f>
        <v>0</v>
      </c>
      <c r="H49" t="s">
        <v>415</v>
      </c>
      <c r="I49" t="s">
        <v>415</v>
      </c>
      <c r="J49" t="s">
        <v>415</v>
      </c>
      <c r="L49" t="s">
        <v>416</v>
      </c>
      <c r="M49" t="s">
        <v>417</v>
      </c>
      <c r="N49" t="s">
        <v>417</v>
      </c>
      <c r="Q49" t="s">
        <v>416</v>
      </c>
      <c r="R49" t="s">
        <v>278</v>
      </c>
      <c r="U49" t="s">
        <v>452</v>
      </c>
      <c r="V49" t="s">
        <v>502</v>
      </c>
      <c r="W49" t="s">
        <v>545</v>
      </c>
      <c r="X49" t="s">
        <v>685</v>
      </c>
      <c r="Y49" t="s">
        <v>418</v>
      </c>
      <c r="Z49">
        <f>IF(AND(H49="OUI", I49="OUI", J49="OUI"), "✅ COMPLET", "⚠️ À OPTIMISER")</f>
        <v>0</v>
      </c>
    </row>
    <row r="50" spans="1:26">
      <c r="A50">
        <v>49</v>
      </c>
      <c r="B50" t="s">
        <v>81</v>
      </c>
      <c r="C50" t="s">
        <v>279</v>
      </c>
      <c r="D50" t="s">
        <v>366</v>
      </c>
      <c r="E50" t="s">
        <v>381</v>
      </c>
      <c r="F50" t="s">
        <v>406</v>
      </c>
      <c r="G50">
        <f>IF(OR(E50&lt;5, H50="NON", I50="NON", J50="NON"), "HAUTE", "MOYENNE")</f>
        <v>0</v>
      </c>
      <c r="H50" t="s">
        <v>415</v>
      </c>
      <c r="I50" t="s">
        <v>415</v>
      </c>
      <c r="J50" t="s">
        <v>415</v>
      </c>
      <c r="L50" t="s">
        <v>416</v>
      </c>
      <c r="M50" t="s">
        <v>417</v>
      </c>
      <c r="N50" t="s">
        <v>417</v>
      </c>
      <c r="Q50" t="s">
        <v>416</v>
      </c>
      <c r="R50" t="s">
        <v>279</v>
      </c>
      <c r="U50" t="s">
        <v>453</v>
      </c>
      <c r="V50" t="s">
        <v>502</v>
      </c>
      <c r="W50" t="s">
        <v>546</v>
      </c>
      <c r="X50" t="s">
        <v>686</v>
      </c>
      <c r="Y50" t="s">
        <v>418</v>
      </c>
      <c r="Z50">
        <f>IF(AND(H50="OUI", I50="OUI", J50="OUI"), "✅ COMPLET", "⚠️ À OPTIMISER")</f>
        <v>0</v>
      </c>
    </row>
    <row r="51" spans="1:26">
      <c r="A51">
        <v>50</v>
      </c>
      <c r="B51" t="s">
        <v>82</v>
      </c>
      <c r="C51" t="s">
        <v>280</v>
      </c>
      <c r="D51" t="s">
        <v>366</v>
      </c>
      <c r="E51" t="s">
        <v>392</v>
      </c>
      <c r="F51" t="s">
        <v>407</v>
      </c>
      <c r="G51">
        <f>IF(OR(E51&lt;5, H51="NON", I51="NON", J51="NON"), "HAUTE", "MOYENNE")</f>
        <v>0</v>
      </c>
      <c r="H51" t="s">
        <v>415</v>
      </c>
      <c r="I51" t="s">
        <v>415</v>
      </c>
      <c r="J51" t="s">
        <v>373</v>
      </c>
      <c r="L51" t="s">
        <v>416</v>
      </c>
      <c r="M51" t="s">
        <v>417</v>
      </c>
      <c r="N51" t="s">
        <v>417</v>
      </c>
      <c r="Q51" t="s">
        <v>416</v>
      </c>
      <c r="R51" t="s">
        <v>280</v>
      </c>
      <c r="U51" t="s">
        <v>431</v>
      </c>
      <c r="V51" t="s">
        <v>502</v>
      </c>
      <c r="W51" t="s">
        <v>547</v>
      </c>
      <c r="X51" t="s">
        <v>687</v>
      </c>
      <c r="Y51" t="s">
        <v>418</v>
      </c>
      <c r="Z51">
        <f>IF(AND(H51="OUI", I51="OUI", J51="OUI"), "✅ COMPLET", "⚠️ À OPTIMISER")</f>
        <v>0</v>
      </c>
    </row>
    <row r="52" spans="1:26">
      <c r="A52">
        <v>51</v>
      </c>
      <c r="B52" t="s">
        <v>83</v>
      </c>
      <c r="C52" t="s">
        <v>281</v>
      </c>
      <c r="D52" t="s">
        <v>366</v>
      </c>
      <c r="E52" t="s">
        <v>394</v>
      </c>
      <c r="F52" t="s">
        <v>408</v>
      </c>
      <c r="G52">
        <f>IF(OR(E52&lt;5, H52="NON", I52="NON", J52="NON"), "HAUTE", "MOYENNE")</f>
        <v>0</v>
      </c>
      <c r="H52" t="s">
        <v>415</v>
      </c>
      <c r="I52" t="s">
        <v>415</v>
      </c>
      <c r="J52" t="s">
        <v>415</v>
      </c>
      <c r="L52" t="s">
        <v>18</v>
      </c>
      <c r="M52" t="s">
        <v>417</v>
      </c>
      <c r="N52" t="s">
        <v>417</v>
      </c>
      <c r="Q52" t="s">
        <v>416</v>
      </c>
      <c r="R52" t="s">
        <v>281</v>
      </c>
      <c r="U52" t="s">
        <v>454</v>
      </c>
      <c r="V52" t="s">
        <v>502</v>
      </c>
      <c r="W52" t="s">
        <v>548</v>
      </c>
      <c r="X52" t="s">
        <v>688</v>
      </c>
      <c r="Y52" t="s">
        <v>418</v>
      </c>
      <c r="Z52">
        <f>IF(AND(H52="OUI", I52="OUI", J52="OUI"), "✅ COMPLET", "⚠️ À OPTIMISER")</f>
        <v>0</v>
      </c>
    </row>
    <row r="53" spans="1:26">
      <c r="A53">
        <v>52</v>
      </c>
      <c r="B53" t="s">
        <v>84</v>
      </c>
      <c r="C53" t="s">
        <v>281</v>
      </c>
      <c r="D53" t="s">
        <v>366</v>
      </c>
      <c r="E53" t="s">
        <v>395</v>
      </c>
      <c r="F53" t="s">
        <v>408</v>
      </c>
      <c r="G53">
        <f>IF(OR(E53&lt;5, H53="NON", I53="NON", J53="NON"), "HAUTE", "MOYENNE")</f>
        <v>0</v>
      </c>
      <c r="H53" t="s">
        <v>415</v>
      </c>
      <c r="I53" t="s">
        <v>415</v>
      </c>
      <c r="J53" t="s">
        <v>415</v>
      </c>
      <c r="L53" t="s">
        <v>18</v>
      </c>
      <c r="M53" t="s">
        <v>417</v>
      </c>
      <c r="N53" t="s">
        <v>417</v>
      </c>
      <c r="Q53" t="s">
        <v>416</v>
      </c>
      <c r="R53" t="s">
        <v>281</v>
      </c>
      <c r="U53" t="s">
        <v>454</v>
      </c>
      <c r="V53" t="s">
        <v>502</v>
      </c>
      <c r="W53" t="s">
        <v>549</v>
      </c>
      <c r="X53" t="s">
        <v>418</v>
      </c>
      <c r="Y53" t="s">
        <v>418</v>
      </c>
      <c r="Z53">
        <f>IF(AND(H53="OUI", I53="OUI", J53="OUI"), "✅ COMPLET", "⚠️ À OPTIMISER")</f>
        <v>0</v>
      </c>
    </row>
    <row r="54" spans="1:26">
      <c r="A54">
        <v>53</v>
      </c>
      <c r="B54" t="s">
        <v>85</v>
      </c>
      <c r="C54" t="s">
        <v>282</v>
      </c>
      <c r="D54" t="s">
        <v>366</v>
      </c>
      <c r="E54" t="s">
        <v>374</v>
      </c>
      <c r="F54" t="s">
        <v>409</v>
      </c>
      <c r="G54">
        <f>IF(OR(E54&lt;5, H54="NON", I54="NON", J54="NON"), "HAUTE", "MOYENNE")</f>
        <v>0</v>
      </c>
      <c r="H54" t="s">
        <v>415</v>
      </c>
      <c r="I54" t="s">
        <v>415</v>
      </c>
      <c r="J54" t="s">
        <v>415</v>
      </c>
      <c r="L54" t="s">
        <v>416</v>
      </c>
      <c r="M54" t="s">
        <v>417</v>
      </c>
      <c r="N54" t="s">
        <v>417</v>
      </c>
      <c r="Q54" t="s">
        <v>416</v>
      </c>
      <c r="R54" t="s">
        <v>282</v>
      </c>
      <c r="U54" t="s">
        <v>455</v>
      </c>
      <c r="V54" t="s">
        <v>502</v>
      </c>
      <c r="W54" t="s">
        <v>550</v>
      </c>
      <c r="X54" t="s">
        <v>689</v>
      </c>
      <c r="Y54" t="s">
        <v>418</v>
      </c>
      <c r="Z54">
        <f>IF(AND(H54="OUI", I54="OUI", J54="OUI"), "✅ COMPLET", "⚠️ À OPTIMISER")</f>
        <v>0</v>
      </c>
    </row>
    <row r="55" spans="1:26">
      <c r="A55">
        <v>54</v>
      </c>
      <c r="B55" t="s">
        <v>86</v>
      </c>
      <c r="C55" t="s">
        <v>283</v>
      </c>
      <c r="D55" t="s">
        <v>366</v>
      </c>
      <c r="E55" t="s">
        <v>388</v>
      </c>
      <c r="F55" t="s">
        <v>408</v>
      </c>
      <c r="G55">
        <f>IF(OR(E55&lt;5, H55="NON", I55="NON", J55="NON"), "HAUTE", "MOYENNE")</f>
        <v>0</v>
      </c>
      <c r="H55" t="s">
        <v>415</v>
      </c>
      <c r="I55" t="s">
        <v>415</v>
      </c>
      <c r="J55" t="s">
        <v>415</v>
      </c>
      <c r="L55" t="s">
        <v>416</v>
      </c>
      <c r="M55" t="s">
        <v>417</v>
      </c>
      <c r="N55" t="s">
        <v>417</v>
      </c>
      <c r="Q55" t="s">
        <v>416</v>
      </c>
      <c r="R55" t="s">
        <v>283</v>
      </c>
      <c r="U55" t="s">
        <v>456</v>
      </c>
      <c r="V55" t="s">
        <v>502</v>
      </c>
      <c r="W55" t="s">
        <v>418</v>
      </c>
      <c r="X55" t="s">
        <v>690</v>
      </c>
      <c r="Y55" t="s">
        <v>418</v>
      </c>
      <c r="Z55">
        <f>IF(AND(H55="OUI", I55="OUI", J55="OUI"), "✅ COMPLET", "⚠️ À OPTIMISER")</f>
        <v>0</v>
      </c>
    </row>
    <row r="56" spans="1:26">
      <c r="A56">
        <v>55</v>
      </c>
      <c r="B56" t="s">
        <v>87</v>
      </c>
      <c r="C56" t="s">
        <v>284</v>
      </c>
      <c r="D56" t="s">
        <v>366</v>
      </c>
      <c r="E56" t="s">
        <v>393</v>
      </c>
      <c r="F56" t="s">
        <v>406</v>
      </c>
      <c r="G56">
        <f>IF(OR(E56&lt;5, H56="NON", I56="NON", J56="NON"), "HAUTE", "MOYENNE")</f>
        <v>0</v>
      </c>
      <c r="H56" t="s">
        <v>415</v>
      </c>
      <c r="I56" t="s">
        <v>415</v>
      </c>
      <c r="J56" t="s">
        <v>415</v>
      </c>
      <c r="L56" t="s">
        <v>18</v>
      </c>
      <c r="M56" t="s">
        <v>417</v>
      </c>
      <c r="N56" t="s">
        <v>417</v>
      </c>
      <c r="Q56" t="s">
        <v>416</v>
      </c>
      <c r="R56" t="s">
        <v>284</v>
      </c>
      <c r="U56" t="s">
        <v>447</v>
      </c>
      <c r="V56" t="s">
        <v>502</v>
      </c>
      <c r="W56" t="s">
        <v>551</v>
      </c>
      <c r="X56" t="s">
        <v>691</v>
      </c>
      <c r="Y56" t="s">
        <v>418</v>
      </c>
      <c r="Z56">
        <f>IF(AND(H56="OUI", I56="OUI", J56="OUI"), "✅ COMPLET", "⚠️ À OPTIMISER")</f>
        <v>0</v>
      </c>
    </row>
    <row r="57" spans="1:26">
      <c r="A57">
        <v>56</v>
      </c>
      <c r="B57" t="s">
        <v>88</v>
      </c>
      <c r="C57" t="s">
        <v>276</v>
      </c>
      <c r="D57" t="s">
        <v>366</v>
      </c>
      <c r="E57" t="s">
        <v>376</v>
      </c>
      <c r="F57" t="s">
        <v>406</v>
      </c>
      <c r="G57">
        <f>IF(OR(E57&lt;5, H57="NON", I57="NON", J57="NON"), "HAUTE", "MOYENNE")</f>
        <v>0</v>
      </c>
      <c r="H57" t="s">
        <v>415</v>
      </c>
      <c r="I57" t="s">
        <v>415</v>
      </c>
      <c r="J57" t="s">
        <v>415</v>
      </c>
      <c r="L57" t="s">
        <v>18</v>
      </c>
      <c r="M57" t="s">
        <v>417</v>
      </c>
      <c r="N57" t="s">
        <v>417</v>
      </c>
      <c r="Q57" t="s">
        <v>416</v>
      </c>
      <c r="R57" t="s">
        <v>276</v>
      </c>
      <c r="U57" t="s">
        <v>457</v>
      </c>
      <c r="V57" t="s">
        <v>502</v>
      </c>
      <c r="W57" t="s">
        <v>543</v>
      </c>
      <c r="X57" t="s">
        <v>692</v>
      </c>
      <c r="Y57" t="s">
        <v>418</v>
      </c>
      <c r="Z57">
        <f>IF(AND(H57="OUI", I57="OUI", J57="OUI"), "✅ COMPLET", "⚠️ À OPTIMISER")</f>
        <v>0</v>
      </c>
    </row>
    <row r="58" spans="1:26">
      <c r="A58">
        <v>57</v>
      </c>
      <c r="B58" t="s">
        <v>89</v>
      </c>
      <c r="C58" t="s">
        <v>285</v>
      </c>
      <c r="D58" t="s">
        <v>366</v>
      </c>
      <c r="E58" t="s">
        <v>374</v>
      </c>
      <c r="F58" t="s">
        <v>408</v>
      </c>
      <c r="G58">
        <f>IF(OR(E58&lt;5, H58="NON", I58="NON", J58="NON"), "HAUTE", "MOYENNE")</f>
        <v>0</v>
      </c>
      <c r="H58" t="s">
        <v>415</v>
      </c>
      <c r="I58" t="s">
        <v>415</v>
      </c>
      <c r="J58" t="s">
        <v>373</v>
      </c>
      <c r="L58" t="s">
        <v>416</v>
      </c>
      <c r="M58" t="s">
        <v>417</v>
      </c>
      <c r="N58" t="s">
        <v>417</v>
      </c>
      <c r="Q58" t="s">
        <v>416</v>
      </c>
      <c r="R58" t="s">
        <v>285</v>
      </c>
      <c r="U58" t="s">
        <v>424</v>
      </c>
      <c r="V58" t="s">
        <v>502</v>
      </c>
      <c r="W58" t="s">
        <v>552</v>
      </c>
      <c r="X58" t="s">
        <v>693</v>
      </c>
      <c r="Y58" t="s">
        <v>418</v>
      </c>
      <c r="Z58">
        <f>IF(AND(H58="OUI", I58="OUI", J58="OUI"), "✅ COMPLET", "⚠️ À OPTIMISER")</f>
        <v>0</v>
      </c>
    </row>
    <row r="59" spans="1:26">
      <c r="A59">
        <v>58</v>
      </c>
      <c r="B59" t="s">
        <v>90</v>
      </c>
      <c r="C59" t="s">
        <v>286</v>
      </c>
      <c r="D59" t="s">
        <v>366</v>
      </c>
      <c r="E59" t="s">
        <v>378</v>
      </c>
      <c r="F59" t="s">
        <v>408</v>
      </c>
      <c r="G59">
        <f>IF(OR(E59&lt;5, H59="NON", I59="NON", J59="NON"), "HAUTE", "MOYENNE")</f>
        <v>0</v>
      </c>
      <c r="H59" t="s">
        <v>415</v>
      </c>
      <c r="I59" t="s">
        <v>373</v>
      </c>
      <c r="J59" t="s">
        <v>373</v>
      </c>
      <c r="L59" t="s">
        <v>416</v>
      </c>
      <c r="M59" t="s">
        <v>417</v>
      </c>
      <c r="N59" t="s">
        <v>416</v>
      </c>
      <c r="Q59" t="s">
        <v>416</v>
      </c>
      <c r="R59" t="s">
        <v>286</v>
      </c>
      <c r="U59" t="s">
        <v>458</v>
      </c>
      <c r="V59" t="s">
        <v>502</v>
      </c>
      <c r="W59" t="s">
        <v>553</v>
      </c>
      <c r="X59" t="s">
        <v>694</v>
      </c>
      <c r="Y59" t="s">
        <v>418</v>
      </c>
      <c r="Z59">
        <f>IF(AND(H59="OUI", I59="OUI", J59="OUI"), "✅ COMPLET", "⚠️ À OPTIMISER")</f>
        <v>0</v>
      </c>
    </row>
    <row r="60" spans="1:26">
      <c r="A60">
        <v>59</v>
      </c>
      <c r="B60" t="s">
        <v>91</v>
      </c>
      <c r="C60" t="s">
        <v>287</v>
      </c>
      <c r="D60" t="s">
        <v>366</v>
      </c>
      <c r="E60" t="s">
        <v>396</v>
      </c>
      <c r="F60" t="s">
        <v>406</v>
      </c>
      <c r="G60">
        <f>IF(OR(E60&lt;5, H60="NON", I60="NON", J60="NON"), "HAUTE", "MOYENNE")</f>
        <v>0</v>
      </c>
      <c r="H60" t="s">
        <v>415</v>
      </c>
      <c r="I60" t="s">
        <v>415</v>
      </c>
      <c r="J60" t="s">
        <v>415</v>
      </c>
      <c r="L60" t="s">
        <v>416</v>
      </c>
      <c r="M60" t="s">
        <v>417</v>
      </c>
      <c r="N60" t="s">
        <v>417</v>
      </c>
      <c r="Q60" t="s">
        <v>416</v>
      </c>
      <c r="R60" t="s">
        <v>287</v>
      </c>
      <c r="U60" t="s">
        <v>459</v>
      </c>
      <c r="V60" t="s">
        <v>502</v>
      </c>
      <c r="W60" t="s">
        <v>554</v>
      </c>
      <c r="X60" t="s">
        <v>695</v>
      </c>
      <c r="Y60" t="s">
        <v>418</v>
      </c>
      <c r="Z60">
        <f>IF(AND(H60="OUI", I60="OUI", J60="OUI"), "✅ COMPLET", "⚠️ À OPTIMISER")</f>
        <v>0</v>
      </c>
    </row>
    <row r="61" spans="1:26">
      <c r="A61">
        <v>60</v>
      </c>
      <c r="B61" t="s">
        <v>92</v>
      </c>
      <c r="C61" t="s">
        <v>288</v>
      </c>
      <c r="D61" t="s">
        <v>366</v>
      </c>
      <c r="E61" t="s">
        <v>379</v>
      </c>
      <c r="F61" t="s">
        <v>409</v>
      </c>
      <c r="G61">
        <f>IF(OR(E61&lt;5, H61="NON", I61="NON", J61="NON"), "HAUTE", "MOYENNE")</f>
        <v>0</v>
      </c>
      <c r="H61" t="s">
        <v>415</v>
      </c>
      <c r="I61" t="s">
        <v>415</v>
      </c>
      <c r="J61" t="s">
        <v>415</v>
      </c>
      <c r="L61" t="s">
        <v>416</v>
      </c>
      <c r="M61" t="s">
        <v>417</v>
      </c>
      <c r="N61" t="s">
        <v>417</v>
      </c>
      <c r="Q61" t="s">
        <v>416</v>
      </c>
      <c r="R61" t="s">
        <v>288</v>
      </c>
      <c r="U61" t="s">
        <v>456</v>
      </c>
      <c r="V61" t="s">
        <v>502</v>
      </c>
      <c r="W61" t="s">
        <v>555</v>
      </c>
      <c r="X61" t="s">
        <v>696</v>
      </c>
      <c r="Y61" t="s">
        <v>418</v>
      </c>
      <c r="Z61">
        <f>IF(AND(H61="OUI", I61="OUI", J61="OUI"), "✅ COMPLET", "⚠️ À OPTIMISER")</f>
        <v>0</v>
      </c>
    </row>
    <row r="62" spans="1:26">
      <c r="A62">
        <v>61</v>
      </c>
      <c r="B62" t="s">
        <v>93</v>
      </c>
      <c r="C62" t="s">
        <v>289</v>
      </c>
      <c r="D62" t="s">
        <v>366</v>
      </c>
      <c r="E62" t="s">
        <v>377</v>
      </c>
      <c r="F62" t="s">
        <v>406</v>
      </c>
      <c r="G62">
        <f>IF(OR(E62&lt;5, H62="NON", I62="NON", J62="NON"), "HAUTE", "MOYENNE")</f>
        <v>0</v>
      </c>
      <c r="H62" t="s">
        <v>415</v>
      </c>
      <c r="I62" t="s">
        <v>415</v>
      </c>
      <c r="J62" t="s">
        <v>415</v>
      </c>
      <c r="L62" t="s">
        <v>18</v>
      </c>
      <c r="M62" t="s">
        <v>417</v>
      </c>
      <c r="N62" t="s">
        <v>417</v>
      </c>
      <c r="Q62" t="s">
        <v>416</v>
      </c>
      <c r="R62" t="s">
        <v>289</v>
      </c>
      <c r="U62" t="s">
        <v>460</v>
      </c>
      <c r="V62" t="s">
        <v>502</v>
      </c>
      <c r="W62" t="s">
        <v>553</v>
      </c>
      <c r="X62" t="s">
        <v>694</v>
      </c>
      <c r="Y62" t="s">
        <v>418</v>
      </c>
      <c r="Z62">
        <f>IF(AND(H62="OUI", I62="OUI", J62="OUI"), "✅ COMPLET", "⚠️ À OPTIMISER")</f>
        <v>0</v>
      </c>
    </row>
    <row r="63" spans="1:26">
      <c r="A63">
        <v>62</v>
      </c>
      <c r="B63" t="s">
        <v>94</v>
      </c>
      <c r="C63" t="s">
        <v>290</v>
      </c>
      <c r="D63" t="s">
        <v>366</v>
      </c>
      <c r="E63" t="s">
        <v>393</v>
      </c>
      <c r="F63" t="s">
        <v>406</v>
      </c>
      <c r="G63">
        <f>IF(OR(E63&lt;5, H63="NON", I63="NON", J63="NON"), "HAUTE", "MOYENNE")</f>
        <v>0</v>
      </c>
      <c r="H63" t="s">
        <v>415</v>
      </c>
      <c r="I63" t="s">
        <v>415</v>
      </c>
      <c r="J63" t="s">
        <v>415</v>
      </c>
      <c r="L63" t="s">
        <v>416</v>
      </c>
      <c r="M63" t="s">
        <v>417</v>
      </c>
      <c r="N63" t="s">
        <v>417</v>
      </c>
      <c r="Q63" t="s">
        <v>416</v>
      </c>
      <c r="R63" t="s">
        <v>290</v>
      </c>
      <c r="U63" t="s">
        <v>461</v>
      </c>
      <c r="V63" t="s">
        <v>502</v>
      </c>
      <c r="W63" t="s">
        <v>556</v>
      </c>
      <c r="X63" t="s">
        <v>683</v>
      </c>
      <c r="Y63" t="s">
        <v>418</v>
      </c>
      <c r="Z63">
        <f>IF(AND(H63="OUI", I63="OUI", J63="OUI"), "✅ COMPLET", "⚠️ À OPTIMISER")</f>
        <v>0</v>
      </c>
    </row>
    <row r="64" spans="1:26">
      <c r="A64">
        <v>63</v>
      </c>
      <c r="B64" t="s">
        <v>95</v>
      </c>
      <c r="C64" t="s">
        <v>276</v>
      </c>
      <c r="D64" t="s">
        <v>366</v>
      </c>
      <c r="E64" t="s">
        <v>388</v>
      </c>
      <c r="F64" t="s">
        <v>408</v>
      </c>
      <c r="G64">
        <f>IF(OR(E64&lt;5, H64="NON", I64="NON", J64="NON"), "HAUTE", "MOYENNE")</f>
        <v>0</v>
      </c>
      <c r="H64" t="s">
        <v>415</v>
      </c>
      <c r="I64" t="s">
        <v>415</v>
      </c>
      <c r="J64" t="s">
        <v>373</v>
      </c>
      <c r="L64" t="s">
        <v>416</v>
      </c>
      <c r="M64" t="s">
        <v>417</v>
      </c>
      <c r="N64" t="s">
        <v>417</v>
      </c>
      <c r="Q64" t="s">
        <v>416</v>
      </c>
      <c r="R64" t="s">
        <v>276</v>
      </c>
      <c r="U64" t="s">
        <v>462</v>
      </c>
      <c r="V64" t="s">
        <v>502</v>
      </c>
      <c r="W64" t="s">
        <v>557</v>
      </c>
      <c r="X64" t="s">
        <v>697</v>
      </c>
      <c r="Y64" t="s">
        <v>418</v>
      </c>
      <c r="Z64">
        <f>IF(AND(H64="OUI", I64="OUI", J64="OUI"), "✅ COMPLET", "⚠️ À OPTIMISER")</f>
        <v>0</v>
      </c>
    </row>
    <row r="65" spans="1:26">
      <c r="A65">
        <v>64</v>
      </c>
      <c r="B65" t="s">
        <v>96</v>
      </c>
      <c r="C65" t="s">
        <v>291</v>
      </c>
      <c r="D65" t="s">
        <v>366</v>
      </c>
      <c r="E65" t="s">
        <v>373</v>
      </c>
      <c r="F65" t="s">
        <v>408</v>
      </c>
      <c r="G65">
        <f>IF(OR(E65&lt;5, H65="NON", I65="NON", J65="NON"), "HAUTE", "MOYENNE")</f>
        <v>0</v>
      </c>
      <c r="H65" t="s">
        <v>373</v>
      </c>
      <c r="I65" t="s">
        <v>415</v>
      </c>
      <c r="J65" t="s">
        <v>373</v>
      </c>
      <c r="L65" t="s">
        <v>416</v>
      </c>
      <c r="M65" t="s">
        <v>416</v>
      </c>
      <c r="N65" t="s">
        <v>417</v>
      </c>
      <c r="Q65" t="s">
        <v>416</v>
      </c>
      <c r="R65" t="s">
        <v>291</v>
      </c>
      <c r="U65" t="s">
        <v>423</v>
      </c>
      <c r="V65" t="s">
        <v>502</v>
      </c>
      <c r="W65" t="s">
        <v>558</v>
      </c>
      <c r="X65" t="s">
        <v>698</v>
      </c>
      <c r="Y65" t="s">
        <v>418</v>
      </c>
      <c r="Z65">
        <f>IF(AND(H65="OUI", I65="OUI", J65="OUI"), "✅ COMPLET", "⚠️ À OPTIMISER")</f>
        <v>0</v>
      </c>
    </row>
    <row r="66" spans="1:26">
      <c r="A66">
        <v>65</v>
      </c>
      <c r="B66" t="s">
        <v>97</v>
      </c>
      <c r="C66" t="s">
        <v>292</v>
      </c>
      <c r="D66" t="s">
        <v>366</v>
      </c>
      <c r="E66" t="s">
        <v>373</v>
      </c>
      <c r="F66" t="s">
        <v>408</v>
      </c>
      <c r="G66">
        <f>IF(OR(E66&lt;5, H66="NON", I66="NON", J66="NON"), "HAUTE", "MOYENNE")</f>
        <v>0</v>
      </c>
      <c r="H66" t="s">
        <v>373</v>
      </c>
      <c r="I66" t="s">
        <v>415</v>
      </c>
      <c r="J66" t="s">
        <v>373</v>
      </c>
      <c r="L66" t="s">
        <v>416</v>
      </c>
      <c r="M66" t="s">
        <v>416</v>
      </c>
      <c r="N66" t="s">
        <v>417</v>
      </c>
      <c r="Q66" t="s">
        <v>416</v>
      </c>
      <c r="R66" t="s">
        <v>292</v>
      </c>
      <c r="U66" t="s">
        <v>423</v>
      </c>
      <c r="V66" t="s">
        <v>502</v>
      </c>
      <c r="W66" t="s">
        <v>559</v>
      </c>
      <c r="X66" t="s">
        <v>699</v>
      </c>
      <c r="Y66" t="s">
        <v>418</v>
      </c>
      <c r="Z66">
        <f>IF(AND(H66="OUI", I66="OUI", J66="OUI"), "✅ COMPLET", "⚠️ À OPTIMISER")</f>
        <v>0</v>
      </c>
    </row>
    <row r="67" spans="1:26">
      <c r="A67">
        <v>66</v>
      </c>
      <c r="B67" t="s">
        <v>98</v>
      </c>
      <c r="C67" t="s">
        <v>293</v>
      </c>
      <c r="D67" t="s">
        <v>366</v>
      </c>
      <c r="E67" t="s">
        <v>379</v>
      </c>
      <c r="F67" t="s">
        <v>406</v>
      </c>
      <c r="G67">
        <f>IF(OR(E67&lt;5, H67="NON", I67="NON", J67="NON"), "HAUTE", "MOYENNE")</f>
        <v>0</v>
      </c>
      <c r="H67" t="s">
        <v>415</v>
      </c>
      <c r="I67" t="s">
        <v>415</v>
      </c>
      <c r="J67" t="s">
        <v>415</v>
      </c>
      <c r="L67" t="s">
        <v>416</v>
      </c>
      <c r="M67" t="s">
        <v>417</v>
      </c>
      <c r="N67" t="s">
        <v>417</v>
      </c>
      <c r="Q67" t="s">
        <v>416</v>
      </c>
      <c r="R67" t="s">
        <v>293</v>
      </c>
      <c r="U67" t="s">
        <v>463</v>
      </c>
      <c r="V67" t="s">
        <v>502</v>
      </c>
      <c r="W67" t="s">
        <v>514</v>
      </c>
      <c r="X67" t="s">
        <v>653</v>
      </c>
      <c r="Y67" t="s">
        <v>418</v>
      </c>
      <c r="Z67">
        <f>IF(AND(H67="OUI", I67="OUI", J67="OUI"), "✅ COMPLET", "⚠️ À OPTIMISER")</f>
        <v>0</v>
      </c>
    </row>
    <row r="68" spans="1:26">
      <c r="A68">
        <v>67</v>
      </c>
      <c r="B68" t="s">
        <v>99</v>
      </c>
      <c r="C68" t="s">
        <v>294</v>
      </c>
      <c r="D68" t="s">
        <v>366</v>
      </c>
      <c r="E68" t="s">
        <v>397</v>
      </c>
      <c r="F68" t="s">
        <v>406</v>
      </c>
      <c r="G68">
        <f>IF(OR(E68&lt;5, H68="NON", I68="NON", J68="NON"), "HAUTE", "MOYENNE")</f>
        <v>0</v>
      </c>
      <c r="H68" t="s">
        <v>415</v>
      </c>
      <c r="I68" t="s">
        <v>415</v>
      </c>
      <c r="J68" t="s">
        <v>415</v>
      </c>
      <c r="L68" t="s">
        <v>416</v>
      </c>
      <c r="M68" t="s">
        <v>417</v>
      </c>
      <c r="N68" t="s">
        <v>417</v>
      </c>
      <c r="Q68" t="s">
        <v>416</v>
      </c>
      <c r="R68" t="s">
        <v>294</v>
      </c>
      <c r="U68" t="s">
        <v>464</v>
      </c>
      <c r="V68" t="s">
        <v>502</v>
      </c>
      <c r="W68" t="s">
        <v>514</v>
      </c>
      <c r="X68" t="s">
        <v>418</v>
      </c>
      <c r="Y68" t="s">
        <v>418</v>
      </c>
      <c r="Z68">
        <f>IF(AND(H68="OUI", I68="OUI", J68="OUI"), "✅ COMPLET", "⚠️ À OPTIMISER")</f>
        <v>0</v>
      </c>
    </row>
    <row r="69" spans="1:26">
      <c r="A69">
        <v>68</v>
      </c>
      <c r="B69" t="s">
        <v>100</v>
      </c>
      <c r="C69" t="s">
        <v>294</v>
      </c>
      <c r="D69" t="s">
        <v>366</v>
      </c>
      <c r="E69" t="s">
        <v>398</v>
      </c>
      <c r="F69" t="s">
        <v>409</v>
      </c>
      <c r="G69">
        <f>IF(OR(E69&lt;5, H69="NON", I69="NON", J69="NON"), "HAUTE", "MOYENNE")</f>
        <v>0</v>
      </c>
      <c r="H69" t="s">
        <v>415</v>
      </c>
      <c r="I69" t="s">
        <v>415</v>
      </c>
      <c r="J69" t="s">
        <v>415</v>
      </c>
      <c r="L69" t="s">
        <v>416</v>
      </c>
      <c r="M69" t="s">
        <v>417</v>
      </c>
      <c r="N69" t="s">
        <v>417</v>
      </c>
      <c r="Q69" t="s">
        <v>416</v>
      </c>
      <c r="R69" t="s">
        <v>294</v>
      </c>
      <c r="U69" t="s">
        <v>464</v>
      </c>
      <c r="V69" t="s">
        <v>502</v>
      </c>
      <c r="W69" t="s">
        <v>514</v>
      </c>
      <c r="X69" t="s">
        <v>418</v>
      </c>
      <c r="Y69" t="s">
        <v>418</v>
      </c>
      <c r="Z69">
        <f>IF(AND(H69="OUI", I69="OUI", J69="OUI"), "✅ COMPLET", "⚠️ À OPTIMISER")</f>
        <v>0</v>
      </c>
    </row>
    <row r="70" spans="1:26">
      <c r="A70">
        <v>69</v>
      </c>
      <c r="B70" t="s">
        <v>101</v>
      </c>
      <c r="C70" t="s">
        <v>295</v>
      </c>
      <c r="D70" t="s">
        <v>366</v>
      </c>
      <c r="E70" t="s">
        <v>373</v>
      </c>
      <c r="F70" t="s">
        <v>408</v>
      </c>
      <c r="G70">
        <f>IF(OR(E70&lt;5, H70="NON", I70="NON", J70="NON"), "HAUTE", "MOYENNE")</f>
        <v>0</v>
      </c>
      <c r="H70" t="s">
        <v>373</v>
      </c>
      <c r="I70" t="s">
        <v>415</v>
      </c>
      <c r="J70" t="s">
        <v>373</v>
      </c>
      <c r="L70" t="s">
        <v>416</v>
      </c>
      <c r="M70" t="s">
        <v>416</v>
      </c>
      <c r="N70" t="s">
        <v>417</v>
      </c>
      <c r="Q70" t="s">
        <v>416</v>
      </c>
      <c r="R70" t="s">
        <v>295</v>
      </c>
      <c r="U70" t="s">
        <v>423</v>
      </c>
      <c r="V70" t="s">
        <v>502</v>
      </c>
      <c r="W70" t="s">
        <v>560</v>
      </c>
      <c r="X70" t="s">
        <v>700</v>
      </c>
      <c r="Y70" t="s">
        <v>418</v>
      </c>
      <c r="Z70">
        <f>IF(AND(H70="OUI", I70="OUI", J70="OUI"), "✅ COMPLET", "⚠️ À OPTIMISER")</f>
        <v>0</v>
      </c>
    </row>
    <row r="71" spans="1:26">
      <c r="A71">
        <v>70</v>
      </c>
      <c r="B71" t="s">
        <v>102</v>
      </c>
      <c r="C71" t="s">
        <v>296</v>
      </c>
      <c r="D71" t="s">
        <v>366</v>
      </c>
      <c r="E71" t="s">
        <v>374</v>
      </c>
      <c r="F71" t="s">
        <v>409</v>
      </c>
      <c r="G71">
        <f>IF(OR(E71&lt;5, H71="NON", I71="NON", J71="NON"), "HAUTE", "MOYENNE")</f>
        <v>0</v>
      </c>
      <c r="H71" t="s">
        <v>415</v>
      </c>
      <c r="I71" t="s">
        <v>415</v>
      </c>
      <c r="J71" t="s">
        <v>415</v>
      </c>
      <c r="L71" t="s">
        <v>18</v>
      </c>
      <c r="M71" t="s">
        <v>417</v>
      </c>
      <c r="N71" t="s">
        <v>417</v>
      </c>
      <c r="Q71" t="s">
        <v>416</v>
      </c>
      <c r="R71" t="s">
        <v>296</v>
      </c>
      <c r="U71" t="s">
        <v>465</v>
      </c>
      <c r="V71" t="s">
        <v>502</v>
      </c>
      <c r="W71" t="s">
        <v>561</v>
      </c>
      <c r="X71" t="s">
        <v>701</v>
      </c>
      <c r="Y71" t="s">
        <v>418</v>
      </c>
      <c r="Z71">
        <f>IF(AND(H71="OUI", I71="OUI", J71="OUI"), "✅ COMPLET", "⚠️ À OPTIMISER")</f>
        <v>0</v>
      </c>
    </row>
    <row r="72" spans="1:26">
      <c r="A72">
        <v>71</v>
      </c>
      <c r="B72" t="s">
        <v>103</v>
      </c>
      <c r="C72" t="s">
        <v>297</v>
      </c>
      <c r="D72" t="s">
        <v>366</v>
      </c>
      <c r="E72" t="s">
        <v>377</v>
      </c>
      <c r="F72" t="s">
        <v>406</v>
      </c>
      <c r="G72">
        <f>IF(OR(E72&lt;5, H72="NON", I72="NON", J72="NON"), "HAUTE", "MOYENNE")</f>
        <v>0</v>
      </c>
      <c r="H72" t="s">
        <v>415</v>
      </c>
      <c r="I72" t="s">
        <v>415</v>
      </c>
      <c r="J72" t="s">
        <v>415</v>
      </c>
      <c r="L72" t="s">
        <v>416</v>
      </c>
      <c r="M72" t="s">
        <v>417</v>
      </c>
      <c r="N72" t="s">
        <v>417</v>
      </c>
      <c r="Q72" t="s">
        <v>416</v>
      </c>
      <c r="R72" t="s">
        <v>297</v>
      </c>
      <c r="U72" t="s">
        <v>429</v>
      </c>
      <c r="V72" t="s">
        <v>502</v>
      </c>
      <c r="W72" t="s">
        <v>562</v>
      </c>
      <c r="X72" t="s">
        <v>418</v>
      </c>
      <c r="Y72" t="s">
        <v>418</v>
      </c>
      <c r="Z72">
        <f>IF(AND(H72="OUI", I72="OUI", J72="OUI"), "✅ COMPLET", "⚠️ À OPTIMISER")</f>
        <v>0</v>
      </c>
    </row>
    <row r="73" spans="1:26">
      <c r="A73">
        <v>72</v>
      </c>
      <c r="B73" t="s">
        <v>104</v>
      </c>
      <c r="C73" t="s">
        <v>298</v>
      </c>
      <c r="D73" t="s">
        <v>366</v>
      </c>
      <c r="E73" t="s">
        <v>381</v>
      </c>
      <c r="F73" t="s">
        <v>406</v>
      </c>
      <c r="G73">
        <f>IF(OR(E73&lt;5, H73="NON", I73="NON", J73="NON"), "HAUTE", "MOYENNE")</f>
        <v>0</v>
      </c>
      <c r="H73" t="s">
        <v>415</v>
      </c>
      <c r="I73" t="s">
        <v>415</v>
      </c>
      <c r="J73" t="s">
        <v>415</v>
      </c>
      <c r="L73" t="s">
        <v>416</v>
      </c>
      <c r="M73" t="s">
        <v>417</v>
      </c>
      <c r="N73" t="s">
        <v>417</v>
      </c>
      <c r="Q73" t="s">
        <v>416</v>
      </c>
      <c r="R73" t="s">
        <v>298</v>
      </c>
      <c r="U73" t="s">
        <v>466</v>
      </c>
      <c r="V73" t="s">
        <v>502</v>
      </c>
      <c r="W73" t="s">
        <v>563</v>
      </c>
      <c r="X73" t="s">
        <v>702</v>
      </c>
      <c r="Y73" t="s">
        <v>418</v>
      </c>
      <c r="Z73">
        <f>IF(AND(H73="OUI", I73="OUI", J73="OUI"), "✅ COMPLET", "⚠️ À OPTIMISER")</f>
        <v>0</v>
      </c>
    </row>
    <row r="74" spans="1:26">
      <c r="A74">
        <v>73</v>
      </c>
      <c r="B74" t="s">
        <v>105</v>
      </c>
      <c r="C74" t="s">
        <v>299</v>
      </c>
      <c r="D74" t="s">
        <v>366</v>
      </c>
      <c r="E74" t="s">
        <v>398</v>
      </c>
      <c r="F74" t="s">
        <v>406</v>
      </c>
      <c r="G74">
        <f>IF(OR(E74&lt;5, H74="NON", I74="NON", J74="NON"), "HAUTE", "MOYENNE")</f>
        <v>0</v>
      </c>
      <c r="H74" t="s">
        <v>415</v>
      </c>
      <c r="I74" t="s">
        <v>415</v>
      </c>
      <c r="J74" t="s">
        <v>415</v>
      </c>
      <c r="L74" t="s">
        <v>18</v>
      </c>
      <c r="M74" t="s">
        <v>417</v>
      </c>
      <c r="N74" t="s">
        <v>417</v>
      </c>
      <c r="Q74" t="s">
        <v>416</v>
      </c>
      <c r="R74" t="s">
        <v>299</v>
      </c>
      <c r="U74" t="s">
        <v>447</v>
      </c>
      <c r="V74" t="s">
        <v>502</v>
      </c>
      <c r="W74" t="s">
        <v>564</v>
      </c>
      <c r="X74" t="s">
        <v>703</v>
      </c>
      <c r="Y74" t="s">
        <v>418</v>
      </c>
      <c r="Z74">
        <f>IF(AND(H74="OUI", I74="OUI", J74="OUI"), "✅ COMPLET", "⚠️ À OPTIMISER")</f>
        <v>0</v>
      </c>
    </row>
    <row r="75" spans="1:26">
      <c r="A75">
        <v>74</v>
      </c>
      <c r="B75" t="s">
        <v>106</v>
      </c>
      <c r="C75" t="s">
        <v>300</v>
      </c>
      <c r="D75" t="s">
        <v>366</v>
      </c>
      <c r="E75" t="s">
        <v>379</v>
      </c>
      <c r="F75" t="s">
        <v>406</v>
      </c>
      <c r="G75">
        <f>IF(OR(E75&lt;5, H75="NON", I75="NON", J75="NON"), "HAUTE", "MOYENNE")</f>
        <v>0</v>
      </c>
      <c r="H75" t="s">
        <v>415</v>
      </c>
      <c r="I75" t="s">
        <v>415</v>
      </c>
      <c r="J75" t="s">
        <v>415</v>
      </c>
      <c r="L75" t="s">
        <v>416</v>
      </c>
      <c r="M75" t="s">
        <v>417</v>
      </c>
      <c r="N75" t="s">
        <v>417</v>
      </c>
      <c r="Q75" t="s">
        <v>416</v>
      </c>
      <c r="R75" t="s">
        <v>300</v>
      </c>
      <c r="U75" t="s">
        <v>467</v>
      </c>
      <c r="V75" t="s">
        <v>502</v>
      </c>
      <c r="W75" t="s">
        <v>514</v>
      </c>
      <c r="X75" t="s">
        <v>418</v>
      </c>
      <c r="Y75" t="s">
        <v>418</v>
      </c>
      <c r="Z75">
        <f>IF(AND(H75="OUI", I75="OUI", J75="OUI"), "✅ COMPLET", "⚠️ À OPTIMISER")</f>
        <v>0</v>
      </c>
    </row>
    <row r="76" spans="1:26">
      <c r="A76">
        <v>75</v>
      </c>
      <c r="B76" t="s">
        <v>107</v>
      </c>
      <c r="C76" t="s">
        <v>301</v>
      </c>
      <c r="D76" t="s">
        <v>366</v>
      </c>
      <c r="E76" t="s">
        <v>378</v>
      </c>
      <c r="F76" t="s">
        <v>406</v>
      </c>
      <c r="G76">
        <f>IF(OR(E76&lt;5, H76="NON", I76="NON", J76="NON"), "HAUTE", "MOYENNE")</f>
        <v>0</v>
      </c>
      <c r="H76" t="s">
        <v>415</v>
      </c>
      <c r="I76" t="s">
        <v>415</v>
      </c>
      <c r="J76" t="s">
        <v>415</v>
      </c>
      <c r="L76" t="s">
        <v>416</v>
      </c>
      <c r="M76" t="s">
        <v>417</v>
      </c>
      <c r="N76" t="s">
        <v>417</v>
      </c>
      <c r="Q76" t="s">
        <v>416</v>
      </c>
      <c r="R76" t="s">
        <v>301</v>
      </c>
      <c r="U76" t="s">
        <v>430</v>
      </c>
      <c r="V76" t="s">
        <v>502</v>
      </c>
      <c r="W76" t="s">
        <v>514</v>
      </c>
      <c r="X76" t="s">
        <v>653</v>
      </c>
      <c r="Y76" t="s">
        <v>418</v>
      </c>
      <c r="Z76">
        <f>IF(AND(H76="OUI", I76="OUI", J76="OUI"), "✅ COMPLET", "⚠️ À OPTIMISER")</f>
        <v>0</v>
      </c>
    </row>
    <row r="77" spans="1:26">
      <c r="A77">
        <v>76</v>
      </c>
      <c r="B77" t="s">
        <v>108</v>
      </c>
      <c r="C77" t="s">
        <v>302</v>
      </c>
      <c r="D77" t="s">
        <v>366</v>
      </c>
      <c r="E77" t="s">
        <v>371</v>
      </c>
      <c r="F77" t="s">
        <v>408</v>
      </c>
      <c r="G77">
        <f>IF(OR(E77&lt;5, H77="NON", I77="NON", J77="NON"), "HAUTE", "MOYENNE")</f>
        <v>0</v>
      </c>
      <c r="H77" t="s">
        <v>415</v>
      </c>
      <c r="I77" t="s">
        <v>415</v>
      </c>
      <c r="J77" t="s">
        <v>415</v>
      </c>
      <c r="L77" t="s">
        <v>416</v>
      </c>
      <c r="M77" t="s">
        <v>417</v>
      </c>
      <c r="N77" t="s">
        <v>417</v>
      </c>
      <c r="Q77" t="s">
        <v>416</v>
      </c>
      <c r="R77" t="s">
        <v>302</v>
      </c>
      <c r="U77" t="s">
        <v>468</v>
      </c>
      <c r="V77" t="s">
        <v>502</v>
      </c>
      <c r="W77" t="s">
        <v>565</v>
      </c>
      <c r="X77" t="s">
        <v>704</v>
      </c>
      <c r="Y77" t="s">
        <v>418</v>
      </c>
      <c r="Z77">
        <f>IF(AND(H77="OUI", I77="OUI", J77="OUI"), "✅ COMPLET", "⚠️ À OPTIMISER")</f>
        <v>0</v>
      </c>
    </row>
    <row r="78" spans="1:26">
      <c r="A78">
        <v>77</v>
      </c>
      <c r="B78" t="s">
        <v>109</v>
      </c>
      <c r="C78" t="s">
        <v>303</v>
      </c>
      <c r="D78" t="s">
        <v>366</v>
      </c>
      <c r="E78" t="s">
        <v>379</v>
      </c>
      <c r="F78" t="s">
        <v>406</v>
      </c>
      <c r="G78">
        <f>IF(OR(E78&lt;5, H78="NON", I78="NON", J78="NON"), "HAUTE", "MOYENNE")</f>
        <v>0</v>
      </c>
      <c r="H78" t="s">
        <v>415</v>
      </c>
      <c r="I78" t="s">
        <v>415</v>
      </c>
      <c r="J78" t="s">
        <v>415</v>
      </c>
      <c r="L78" t="s">
        <v>416</v>
      </c>
      <c r="M78" t="s">
        <v>417</v>
      </c>
      <c r="N78" t="s">
        <v>417</v>
      </c>
      <c r="Q78" t="s">
        <v>416</v>
      </c>
      <c r="R78" t="s">
        <v>303</v>
      </c>
      <c r="U78" t="s">
        <v>434</v>
      </c>
      <c r="V78" t="s">
        <v>502</v>
      </c>
      <c r="W78" t="s">
        <v>566</v>
      </c>
      <c r="X78" t="s">
        <v>705</v>
      </c>
      <c r="Y78" t="s">
        <v>418</v>
      </c>
      <c r="Z78">
        <f>IF(AND(H78="OUI", I78="OUI", J78="OUI"), "✅ COMPLET", "⚠️ À OPTIMISER")</f>
        <v>0</v>
      </c>
    </row>
    <row r="79" spans="1:26">
      <c r="A79">
        <v>78</v>
      </c>
      <c r="B79" t="s">
        <v>110</v>
      </c>
      <c r="C79" t="s">
        <v>304</v>
      </c>
      <c r="D79" t="s">
        <v>366</v>
      </c>
      <c r="E79" t="s">
        <v>373</v>
      </c>
      <c r="F79" t="s">
        <v>5</v>
      </c>
      <c r="G79">
        <f>IF(OR(E79&lt;5, H79="NON", I79="NON", J79="NON"), "HAUTE", "MOYENNE")</f>
        <v>0</v>
      </c>
      <c r="H79" t="s">
        <v>373</v>
      </c>
      <c r="I79" t="s">
        <v>415</v>
      </c>
      <c r="J79" t="s">
        <v>373</v>
      </c>
      <c r="L79" t="s">
        <v>416</v>
      </c>
      <c r="M79" t="s">
        <v>416</v>
      </c>
      <c r="N79" t="s">
        <v>417</v>
      </c>
      <c r="Q79" t="s">
        <v>416</v>
      </c>
      <c r="R79" t="s">
        <v>304</v>
      </c>
      <c r="U79" t="s">
        <v>423</v>
      </c>
      <c r="V79" t="s">
        <v>502</v>
      </c>
      <c r="W79" t="s">
        <v>567</v>
      </c>
      <c r="X79" t="s">
        <v>418</v>
      </c>
      <c r="Y79" t="s">
        <v>418</v>
      </c>
      <c r="Z79">
        <f>IF(AND(H79="OUI", I79="OUI", J79="OUI"), "✅ COMPLET", "⚠️ À OPTIMISER")</f>
        <v>0</v>
      </c>
    </row>
    <row r="80" spans="1:26">
      <c r="A80">
        <v>79</v>
      </c>
      <c r="B80" t="s">
        <v>111</v>
      </c>
      <c r="C80" t="s">
        <v>305</v>
      </c>
      <c r="D80" t="s">
        <v>366</v>
      </c>
      <c r="E80" t="s">
        <v>377</v>
      </c>
      <c r="F80" t="s">
        <v>406</v>
      </c>
      <c r="G80">
        <f>IF(OR(E80&lt;5, H80="NON", I80="NON", J80="NON"), "HAUTE", "MOYENNE")</f>
        <v>0</v>
      </c>
      <c r="H80" t="s">
        <v>415</v>
      </c>
      <c r="I80" t="s">
        <v>415</v>
      </c>
      <c r="J80" t="s">
        <v>415</v>
      </c>
      <c r="L80" t="s">
        <v>416</v>
      </c>
      <c r="M80" t="s">
        <v>417</v>
      </c>
      <c r="N80" t="s">
        <v>417</v>
      </c>
      <c r="Q80" t="s">
        <v>416</v>
      </c>
      <c r="R80" t="s">
        <v>305</v>
      </c>
      <c r="U80" t="s">
        <v>469</v>
      </c>
      <c r="V80" t="s">
        <v>502</v>
      </c>
      <c r="W80" t="s">
        <v>568</v>
      </c>
      <c r="X80" t="s">
        <v>706</v>
      </c>
      <c r="Y80" t="s">
        <v>418</v>
      </c>
      <c r="Z80">
        <f>IF(AND(H80="OUI", I80="OUI", J80="OUI"), "✅ COMPLET", "⚠️ À OPTIMISER")</f>
        <v>0</v>
      </c>
    </row>
    <row r="81" spans="1:26">
      <c r="A81">
        <v>80</v>
      </c>
      <c r="B81" t="s">
        <v>112</v>
      </c>
      <c r="C81" t="s">
        <v>306</v>
      </c>
      <c r="D81" t="s">
        <v>366</v>
      </c>
      <c r="E81" t="s">
        <v>377</v>
      </c>
      <c r="F81" t="s">
        <v>409</v>
      </c>
      <c r="G81">
        <f>IF(OR(E81&lt;5, H81="NON", I81="NON", J81="NON"), "HAUTE", "MOYENNE")</f>
        <v>0</v>
      </c>
      <c r="H81" t="s">
        <v>415</v>
      </c>
      <c r="I81" t="s">
        <v>415</v>
      </c>
      <c r="J81" t="s">
        <v>415</v>
      </c>
      <c r="L81" t="s">
        <v>416</v>
      </c>
      <c r="M81" t="s">
        <v>417</v>
      </c>
      <c r="N81" t="s">
        <v>417</v>
      </c>
      <c r="Q81" t="s">
        <v>416</v>
      </c>
      <c r="R81" t="s">
        <v>306</v>
      </c>
      <c r="U81" t="s">
        <v>453</v>
      </c>
      <c r="V81" t="s">
        <v>502</v>
      </c>
      <c r="W81" t="s">
        <v>569</v>
      </c>
      <c r="X81" t="s">
        <v>707</v>
      </c>
      <c r="Y81" t="s">
        <v>418</v>
      </c>
      <c r="Z81">
        <f>IF(AND(H81="OUI", I81="OUI", J81="OUI"), "✅ COMPLET", "⚠️ À OPTIMISER")</f>
        <v>0</v>
      </c>
    </row>
    <row r="82" spans="1:26">
      <c r="A82">
        <v>81</v>
      </c>
      <c r="B82" t="s">
        <v>113</v>
      </c>
      <c r="C82" t="s">
        <v>271</v>
      </c>
      <c r="D82" t="s">
        <v>366</v>
      </c>
      <c r="E82" t="s">
        <v>392</v>
      </c>
      <c r="F82" t="s">
        <v>406</v>
      </c>
      <c r="G82">
        <f>IF(OR(E82&lt;5, H82="NON", I82="NON", J82="NON"), "HAUTE", "MOYENNE")</f>
        <v>0</v>
      </c>
      <c r="H82" t="s">
        <v>415</v>
      </c>
      <c r="I82" t="s">
        <v>415</v>
      </c>
      <c r="J82" t="s">
        <v>415</v>
      </c>
      <c r="L82" t="s">
        <v>18</v>
      </c>
      <c r="M82" t="s">
        <v>417</v>
      </c>
      <c r="N82" t="s">
        <v>417</v>
      </c>
      <c r="Q82" t="s">
        <v>416</v>
      </c>
      <c r="R82" t="s">
        <v>271</v>
      </c>
      <c r="U82" t="s">
        <v>447</v>
      </c>
      <c r="V82" t="s">
        <v>502</v>
      </c>
      <c r="W82" t="s">
        <v>570</v>
      </c>
      <c r="X82" t="s">
        <v>676</v>
      </c>
      <c r="Y82" t="s">
        <v>418</v>
      </c>
      <c r="Z82">
        <f>IF(AND(H82="OUI", I82="OUI", J82="OUI"), "✅ COMPLET", "⚠️ À OPTIMISER")</f>
        <v>0</v>
      </c>
    </row>
    <row r="83" spans="1:26">
      <c r="A83">
        <v>82</v>
      </c>
      <c r="B83" t="s">
        <v>114</v>
      </c>
      <c r="C83" t="s">
        <v>307</v>
      </c>
      <c r="D83" t="s">
        <v>366</v>
      </c>
      <c r="E83" t="s">
        <v>399</v>
      </c>
      <c r="F83" t="s">
        <v>408</v>
      </c>
      <c r="G83">
        <f>IF(OR(E83&lt;5, H83="NON", I83="NON", J83="NON"), "HAUTE", "MOYENNE")</f>
        <v>0</v>
      </c>
      <c r="H83" t="s">
        <v>415</v>
      </c>
      <c r="I83" t="s">
        <v>415</v>
      </c>
      <c r="J83" t="s">
        <v>415</v>
      </c>
      <c r="L83" t="s">
        <v>416</v>
      </c>
      <c r="M83" t="s">
        <v>417</v>
      </c>
      <c r="N83" t="s">
        <v>417</v>
      </c>
      <c r="Q83" t="s">
        <v>416</v>
      </c>
      <c r="R83" t="s">
        <v>307</v>
      </c>
      <c r="U83" t="s">
        <v>423</v>
      </c>
      <c r="V83" t="s">
        <v>502</v>
      </c>
      <c r="W83" t="s">
        <v>571</v>
      </c>
      <c r="X83" t="s">
        <v>708</v>
      </c>
      <c r="Y83" t="s">
        <v>418</v>
      </c>
      <c r="Z83">
        <f>IF(AND(H83="OUI", I83="OUI", J83="OUI"), "✅ COMPLET", "⚠️ À OPTIMISER")</f>
        <v>0</v>
      </c>
    </row>
    <row r="84" spans="1:26">
      <c r="A84">
        <v>83</v>
      </c>
      <c r="B84" t="s">
        <v>115</v>
      </c>
      <c r="C84" t="s">
        <v>297</v>
      </c>
      <c r="D84" t="s">
        <v>366</v>
      </c>
      <c r="E84" t="s">
        <v>373</v>
      </c>
      <c r="F84" t="s">
        <v>5</v>
      </c>
      <c r="G84">
        <f>IF(OR(E84&lt;5, H84="NON", I84="NON", J84="NON"), "HAUTE", "MOYENNE")</f>
        <v>0</v>
      </c>
      <c r="H84" t="s">
        <v>373</v>
      </c>
      <c r="I84" t="s">
        <v>415</v>
      </c>
      <c r="J84" t="s">
        <v>373</v>
      </c>
      <c r="L84" t="s">
        <v>416</v>
      </c>
      <c r="M84" t="s">
        <v>416</v>
      </c>
      <c r="N84" t="s">
        <v>417</v>
      </c>
      <c r="Q84" t="s">
        <v>416</v>
      </c>
      <c r="R84" t="s">
        <v>297</v>
      </c>
      <c r="U84" t="s">
        <v>423</v>
      </c>
      <c r="V84" t="s">
        <v>502</v>
      </c>
      <c r="W84" t="s">
        <v>572</v>
      </c>
      <c r="X84" t="s">
        <v>683</v>
      </c>
      <c r="Y84" t="s">
        <v>418</v>
      </c>
      <c r="Z84">
        <f>IF(AND(H84="OUI", I84="OUI", J84="OUI"), "✅ COMPLET", "⚠️ À OPTIMISER")</f>
        <v>0</v>
      </c>
    </row>
    <row r="85" spans="1:26">
      <c r="A85">
        <v>84</v>
      </c>
      <c r="B85" t="s">
        <v>116</v>
      </c>
      <c r="C85" t="s">
        <v>238</v>
      </c>
      <c r="D85" t="s">
        <v>366</v>
      </c>
      <c r="E85" t="s">
        <v>388</v>
      </c>
      <c r="F85" t="s">
        <v>407</v>
      </c>
      <c r="G85">
        <f>IF(OR(E85&lt;5, H85="NON", I85="NON", J85="NON"), "HAUTE", "MOYENNE")</f>
        <v>0</v>
      </c>
      <c r="H85" t="s">
        <v>415</v>
      </c>
      <c r="I85" t="s">
        <v>415</v>
      </c>
      <c r="J85" t="s">
        <v>373</v>
      </c>
      <c r="L85" t="s">
        <v>416</v>
      </c>
      <c r="M85" t="s">
        <v>417</v>
      </c>
      <c r="N85" t="s">
        <v>417</v>
      </c>
      <c r="Q85" t="s">
        <v>416</v>
      </c>
      <c r="R85" t="s">
        <v>238</v>
      </c>
      <c r="U85" t="s">
        <v>456</v>
      </c>
      <c r="V85" t="s">
        <v>502</v>
      </c>
      <c r="W85" t="s">
        <v>573</v>
      </c>
      <c r="X85" t="s">
        <v>709</v>
      </c>
      <c r="Y85" t="s">
        <v>418</v>
      </c>
      <c r="Z85">
        <f>IF(AND(H85="OUI", I85="OUI", J85="OUI"), "✅ COMPLET", "⚠️ À OPTIMISER")</f>
        <v>0</v>
      </c>
    </row>
    <row r="86" spans="1:26">
      <c r="A86">
        <v>85</v>
      </c>
      <c r="B86" t="s">
        <v>117</v>
      </c>
      <c r="C86" t="s">
        <v>294</v>
      </c>
      <c r="D86" t="s">
        <v>366</v>
      </c>
      <c r="E86" t="s">
        <v>379</v>
      </c>
      <c r="F86" t="s">
        <v>409</v>
      </c>
      <c r="G86">
        <f>IF(OR(E86&lt;5, H86="NON", I86="NON", J86="NON"), "HAUTE", "MOYENNE")</f>
        <v>0</v>
      </c>
      <c r="H86" t="s">
        <v>415</v>
      </c>
      <c r="I86" t="s">
        <v>415</v>
      </c>
      <c r="J86" t="s">
        <v>415</v>
      </c>
      <c r="L86" t="s">
        <v>416</v>
      </c>
      <c r="M86" t="s">
        <v>417</v>
      </c>
      <c r="N86" t="s">
        <v>417</v>
      </c>
      <c r="Q86" t="s">
        <v>416</v>
      </c>
      <c r="R86" t="s">
        <v>294</v>
      </c>
      <c r="U86" t="s">
        <v>464</v>
      </c>
      <c r="V86" t="s">
        <v>502</v>
      </c>
      <c r="W86" t="s">
        <v>514</v>
      </c>
      <c r="X86" t="s">
        <v>418</v>
      </c>
      <c r="Y86" t="s">
        <v>418</v>
      </c>
      <c r="Z86">
        <f>IF(AND(H86="OUI", I86="OUI", J86="OUI"), "✅ COMPLET", "⚠️ À OPTIMISER")</f>
        <v>0</v>
      </c>
    </row>
    <row r="87" spans="1:26">
      <c r="A87">
        <v>86</v>
      </c>
      <c r="B87" t="s">
        <v>118</v>
      </c>
      <c r="C87" t="s">
        <v>308</v>
      </c>
      <c r="D87" t="s">
        <v>366</v>
      </c>
      <c r="E87" t="s">
        <v>379</v>
      </c>
      <c r="F87" t="s">
        <v>408</v>
      </c>
      <c r="G87">
        <f>IF(OR(E87&lt;5, H87="NON", I87="NON", J87="NON"), "HAUTE", "MOYENNE")</f>
        <v>0</v>
      </c>
      <c r="H87" t="s">
        <v>415</v>
      </c>
      <c r="I87" t="s">
        <v>415</v>
      </c>
      <c r="J87" t="s">
        <v>415</v>
      </c>
      <c r="L87" t="s">
        <v>416</v>
      </c>
      <c r="M87" t="s">
        <v>417</v>
      </c>
      <c r="N87" t="s">
        <v>417</v>
      </c>
      <c r="Q87" t="s">
        <v>416</v>
      </c>
      <c r="R87" t="s">
        <v>308</v>
      </c>
      <c r="U87" t="s">
        <v>470</v>
      </c>
      <c r="V87" t="s">
        <v>502</v>
      </c>
      <c r="W87" t="s">
        <v>574</v>
      </c>
      <c r="X87" t="s">
        <v>694</v>
      </c>
      <c r="Y87" t="s">
        <v>418</v>
      </c>
      <c r="Z87">
        <f>IF(AND(H87="OUI", I87="OUI", J87="OUI"), "✅ COMPLET", "⚠️ À OPTIMISER")</f>
        <v>0</v>
      </c>
    </row>
    <row r="88" spans="1:26">
      <c r="A88">
        <v>87</v>
      </c>
      <c r="B88" t="s">
        <v>119</v>
      </c>
      <c r="C88" t="s">
        <v>309</v>
      </c>
      <c r="D88" t="s">
        <v>366</v>
      </c>
      <c r="E88" t="s">
        <v>373</v>
      </c>
      <c r="F88" t="s">
        <v>408</v>
      </c>
      <c r="G88">
        <f>IF(OR(E88&lt;5, H88="NON", I88="NON", J88="NON"), "HAUTE", "MOYENNE")</f>
        <v>0</v>
      </c>
      <c r="H88" t="s">
        <v>373</v>
      </c>
      <c r="I88" t="s">
        <v>415</v>
      </c>
      <c r="J88" t="s">
        <v>373</v>
      </c>
      <c r="L88" t="s">
        <v>416</v>
      </c>
      <c r="M88" t="s">
        <v>416</v>
      </c>
      <c r="N88" t="s">
        <v>417</v>
      </c>
      <c r="Q88" t="s">
        <v>416</v>
      </c>
      <c r="R88" t="s">
        <v>309</v>
      </c>
      <c r="U88" t="s">
        <v>423</v>
      </c>
      <c r="V88" t="s">
        <v>502</v>
      </c>
      <c r="W88" t="s">
        <v>575</v>
      </c>
      <c r="X88" t="s">
        <v>710</v>
      </c>
      <c r="Y88" t="s">
        <v>418</v>
      </c>
      <c r="Z88">
        <f>IF(AND(H88="OUI", I88="OUI", J88="OUI"), "✅ COMPLET", "⚠️ À OPTIMISER")</f>
        <v>0</v>
      </c>
    </row>
    <row r="89" spans="1:26">
      <c r="A89">
        <v>88</v>
      </c>
      <c r="B89" t="s">
        <v>120</v>
      </c>
      <c r="C89" t="s">
        <v>310</v>
      </c>
      <c r="D89" t="s">
        <v>366</v>
      </c>
      <c r="E89" t="s">
        <v>373</v>
      </c>
      <c r="F89" t="s">
        <v>406</v>
      </c>
      <c r="G89">
        <f>IF(OR(E89&lt;5, H89="NON", I89="NON", J89="NON"), "HAUTE", "MOYENNE")</f>
        <v>0</v>
      </c>
      <c r="H89" t="s">
        <v>373</v>
      </c>
      <c r="I89" t="s">
        <v>415</v>
      </c>
      <c r="J89" t="s">
        <v>373</v>
      </c>
      <c r="L89" t="s">
        <v>416</v>
      </c>
      <c r="M89" t="s">
        <v>416</v>
      </c>
      <c r="N89" t="s">
        <v>417</v>
      </c>
      <c r="Q89" t="s">
        <v>416</v>
      </c>
      <c r="R89" t="s">
        <v>310</v>
      </c>
      <c r="U89" t="s">
        <v>423</v>
      </c>
      <c r="V89" t="s">
        <v>502</v>
      </c>
      <c r="W89" t="s">
        <v>576</v>
      </c>
      <c r="X89" t="s">
        <v>711</v>
      </c>
      <c r="Y89" t="s">
        <v>418</v>
      </c>
      <c r="Z89">
        <f>IF(AND(H89="OUI", I89="OUI", J89="OUI"), "✅ COMPLET", "⚠️ À OPTIMISER")</f>
        <v>0</v>
      </c>
    </row>
    <row r="90" spans="1:26">
      <c r="A90">
        <v>89</v>
      </c>
      <c r="B90" t="s">
        <v>121</v>
      </c>
      <c r="C90" t="s">
        <v>245</v>
      </c>
      <c r="D90" t="s">
        <v>366</v>
      </c>
      <c r="E90" t="s">
        <v>376</v>
      </c>
      <c r="F90" t="s">
        <v>408</v>
      </c>
      <c r="G90">
        <f>IF(OR(E90&lt;5, H90="NON", I90="NON", J90="NON"), "HAUTE", "MOYENNE")</f>
        <v>0</v>
      </c>
      <c r="H90" t="s">
        <v>415</v>
      </c>
      <c r="I90" t="s">
        <v>415</v>
      </c>
      <c r="J90" t="s">
        <v>373</v>
      </c>
      <c r="L90" t="s">
        <v>416</v>
      </c>
      <c r="M90" t="s">
        <v>417</v>
      </c>
      <c r="N90" t="s">
        <v>417</v>
      </c>
      <c r="Q90" t="s">
        <v>416</v>
      </c>
      <c r="R90" t="s">
        <v>245</v>
      </c>
      <c r="U90" t="s">
        <v>471</v>
      </c>
      <c r="V90" t="s">
        <v>502</v>
      </c>
      <c r="W90" t="s">
        <v>577</v>
      </c>
      <c r="X90" t="s">
        <v>712</v>
      </c>
      <c r="Y90" t="s">
        <v>418</v>
      </c>
      <c r="Z90">
        <f>IF(AND(H90="OUI", I90="OUI", J90="OUI"), "✅ COMPLET", "⚠️ À OPTIMISER")</f>
        <v>0</v>
      </c>
    </row>
    <row r="91" spans="1:26">
      <c r="A91">
        <v>90</v>
      </c>
      <c r="B91" t="s">
        <v>122</v>
      </c>
      <c r="C91" t="s">
        <v>311</v>
      </c>
      <c r="D91" t="s">
        <v>366</v>
      </c>
      <c r="E91" t="s">
        <v>400</v>
      </c>
      <c r="F91" t="s">
        <v>406</v>
      </c>
      <c r="G91">
        <f>IF(OR(E91&lt;5, H91="NON", I91="NON", J91="NON"), "HAUTE", "MOYENNE")</f>
        <v>0</v>
      </c>
      <c r="H91" t="s">
        <v>415</v>
      </c>
      <c r="I91" t="s">
        <v>415</v>
      </c>
      <c r="J91" t="s">
        <v>415</v>
      </c>
      <c r="L91" t="s">
        <v>416</v>
      </c>
      <c r="M91" t="s">
        <v>417</v>
      </c>
      <c r="N91" t="s">
        <v>417</v>
      </c>
      <c r="Q91" t="s">
        <v>416</v>
      </c>
      <c r="R91" t="s">
        <v>311</v>
      </c>
      <c r="U91" t="s">
        <v>472</v>
      </c>
      <c r="V91" t="s">
        <v>502</v>
      </c>
      <c r="W91" t="s">
        <v>578</v>
      </c>
      <c r="X91" t="s">
        <v>713</v>
      </c>
      <c r="Y91" t="s">
        <v>418</v>
      </c>
      <c r="Z91">
        <f>IF(AND(H91="OUI", I91="OUI", J91="OUI"), "✅ COMPLET", "⚠️ À OPTIMISER")</f>
        <v>0</v>
      </c>
    </row>
    <row r="92" spans="1:26">
      <c r="A92">
        <v>91</v>
      </c>
      <c r="B92" t="s">
        <v>123</v>
      </c>
      <c r="C92" t="s">
        <v>312</v>
      </c>
      <c r="D92" t="s">
        <v>366</v>
      </c>
      <c r="E92" t="s">
        <v>389</v>
      </c>
      <c r="F92" t="s">
        <v>409</v>
      </c>
      <c r="G92">
        <f>IF(OR(E92&lt;5, H92="NON", I92="NON", J92="NON"), "HAUTE", "MOYENNE")</f>
        <v>0</v>
      </c>
      <c r="H92" t="s">
        <v>415</v>
      </c>
      <c r="I92" t="s">
        <v>415</v>
      </c>
      <c r="J92" t="s">
        <v>415</v>
      </c>
      <c r="L92" t="s">
        <v>416</v>
      </c>
      <c r="M92" t="s">
        <v>417</v>
      </c>
      <c r="N92" t="s">
        <v>417</v>
      </c>
      <c r="Q92" t="s">
        <v>416</v>
      </c>
      <c r="R92" t="s">
        <v>312</v>
      </c>
      <c r="U92" t="s">
        <v>447</v>
      </c>
      <c r="V92" t="s">
        <v>502</v>
      </c>
      <c r="W92" t="s">
        <v>579</v>
      </c>
      <c r="X92" t="s">
        <v>714</v>
      </c>
      <c r="Y92" t="s">
        <v>418</v>
      </c>
      <c r="Z92">
        <f>IF(AND(H92="OUI", I92="OUI", J92="OUI"), "✅ COMPLET", "⚠️ À OPTIMISER")</f>
        <v>0</v>
      </c>
    </row>
    <row r="93" spans="1:26">
      <c r="A93">
        <v>92</v>
      </c>
      <c r="B93" t="s">
        <v>124</v>
      </c>
      <c r="C93" t="s">
        <v>247</v>
      </c>
      <c r="D93" t="s">
        <v>366</v>
      </c>
      <c r="E93" t="s">
        <v>392</v>
      </c>
      <c r="F93" t="s">
        <v>408</v>
      </c>
      <c r="G93">
        <f>IF(OR(E93&lt;5, H93="NON", I93="NON", J93="NON"), "HAUTE", "MOYENNE")</f>
        <v>0</v>
      </c>
      <c r="H93" t="s">
        <v>415</v>
      </c>
      <c r="I93" t="s">
        <v>373</v>
      </c>
      <c r="J93" t="s">
        <v>373</v>
      </c>
      <c r="L93" t="s">
        <v>416</v>
      </c>
      <c r="M93" t="s">
        <v>417</v>
      </c>
      <c r="N93" t="s">
        <v>416</v>
      </c>
      <c r="Q93" t="s">
        <v>416</v>
      </c>
      <c r="R93" t="s">
        <v>247</v>
      </c>
      <c r="U93" t="s">
        <v>473</v>
      </c>
      <c r="V93" t="s">
        <v>502</v>
      </c>
      <c r="W93" t="s">
        <v>574</v>
      </c>
      <c r="X93" t="s">
        <v>694</v>
      </c>
      <c r="Y93" t="s">
        <v>418</v>
      </c>
      <c r="Z93">
        <f>IF(AND(H93="OUI", I93="OUI", J93="OUI"), "✅ COMPLET", "⚠️ À OPTIMISER")</f>
        <v>0</v>
      </c>
    </row>
    <row r="94" spans="1:26">
      <c r="A94">
        <v>93</v>
      </c>
      <c r="B94" t="s">
        <v>125</v>
      </c>
      <c r="C94" t="s">
        <v>313</v>
      </c>
      <c r="D94" t="s">
        <v>366</v>
      </c>
      <c r="E94" t="s">
        <v>385</v>
      </c>
      <c r="F94" t="s">
        <v>406</v>
      </c>
      <c r="G94">
        <f>IF(OR(E94&lt;5, H94="NON", I94="NON", J94="NON"), "HAUTE", "MOYENNE")</f>
        <v>0</v>
      </c>
      <c r="H94" t="s">
        <v>415</v>
      </c>
      <c r="I94" t="s">
        <v>415</v>
      </c>
      <c r="J94" t="s">
        <v>415</v>
      </c>
      <c r="L94" t="s">
        <v>18</v>
      </c>
      <c r="M94" t="s">
        <v>417</v>
      </c>
      <c r="N94" t="s">
        <v>417</v>
      </c>
      <c r="Q94" t="s">
        <v>416</v>
      </c>
      <c r="R94" t="s">
        <v>313</v>
      </c>
      <c r="U94" t="s">
        <v>474</v>
      </c>
      <c r="V94" t="s">
        <v>502</v>
      </c>
      <c r="W94" t="s">
        <v>580</v>
      </c>
      <c r="X94" t="s">
        <v>715</v>
      </c>
      <c r="Y94" t="s">
        <v>418</v>
      </c>
      <c r="Z94">
        <f>IF(AND(H94="OUI", I94="OUI", J94="OUI"), "✅ COMPLET", "⚠️ À OPTIMISER")</f>
        <v>0</v>
      </c>
    </row>
    <row r="95" spans="1:26">
      <c r="A95">
        <v>94</v>
      </c>
      <c r="B95" t="s">
        <v>126</v>
      </c>
      <c r="C95" t="s">
        <v>314</v>
      </c>
      <c r="D95" t="s">
        <v>366</v>
      </c>
      <c r="E95" t="s">
        <v>371</v>
      </c>
      <c r="F95" t="s">
        <v>408</v>
      </c>
      <c r="G95">
        <f>IF(OR(E95&lt;5, H95="NON", I95="NON", J95="NON"), "HAUTE", "MOYENNE")</f>
        <v>0</v>
      </c>
      <c r="H95" t="s">
        <v>415</v>
      </c>
      <c r="I95" t="s">
        <v>373</v>
      </c>
      <c r="J95" t="s">
        <v>373</v>
      </c>
      <c r="L95" t="s">
        <v>416</v>
      </c>
      <c r="M95" t="s">
        <v>417</v>
      </c>
      <c r="N95" t="s">
        <v>416</v>
      </c>
      <c r="Q95" t="s">
        <v>416</v>
      </c>
      <c r="R95" t="s">
        <v>314</v>
      </c>
      <c r="U95" t="s">
        <v>426</v>
      </c>
      <c r="V95" t="s">
        <v>502</v>
      </c>
      <c r="W95" t="s">
        <v>581</v>
      </c>
      <c r="X95" t="s">
        <v>716</v>
      </c>
      <c r="Y95" t="s">
        <v>418</v>
      </c>
      <c r="Z95">
        <f>IF(AND(H95="OUI", I95="OUI", J95="OUI"), "✅ COMPLET", "⚠️ À OPTIMISER")</f>
        <v>0</v>
      </c>
    </row>
    <row r="96" spans="1:26">
      <c r="A96">
        <v>95</v>
      </c>
      <c r="B96" t="s">
        <v>127</v>
      </c>
      <c r="C96" t="s">
        <v>315</v>
      </c>
      <c r="D96" t="s">
        <v>366</v>
      </c>
      <c r="E96" t="s">
        <v>401</v>
      </c>
      <c r="F96" t="s">
        <v>406</v>
      </c>
      <c r="G96">
        <f>IF(OR(E96&lt;5, H96="NON", I96="NON", J96="NON"), "HAUTE", "MOYENNE")</f>
        <v>0</v>
      </c>
      <c r="H96" t="s">
        <v>415</v>
      </c>
      <c r="I96" t="s">
        <v>415</v>
      </c>
      <c r="J96" t="s">
        <v>415</v>
      </c>
      <c r="L96" t="s">
        <v>416</v>
      </c>
      <c r="M96" t="s">
        <v>417</v>
      </c>
      <c r="N96" t="s">
        <v>417</v>
      </c>
      <c r="Q96" t="s">
        <v>416</v>
      </c>
      <c r="R96" t="s">
        <v>315</v>
      </c>
      <c r="U96" t="s">
        <v>475</v>
      </c>
      <c r="V96" t="s">
        <v>502</v>
      </c>
      <c r="W96" t="s">
        <v>582</v>
      </c>
      <c r="X96" t="s">
        <v>717</v>
      </c>
      <c r="Y96" t="s">
        <v>418</v>
      </c>
      <c r="Z96">
        <f>IF(AND(H96="OUI", I96="OUI", J96="OUI"), "✅ COMPLET", "⚠️ À OPTIMISER")</f>
        <v>0</v>
      </c>
    </row>
    <row r="97" spans="1:26">
      <c r="A97">
        <v>96</v>
      </c>
      <c r="B97" t="s">
        <v>128</v>
      </c>
      <c r="C97" t="s">
        <v>316</v>
      </c>
      <c r="D97" t="s">
        <v>366</v>
      </c>
      <c r="E97" t="s">
        <v>374</v>
      </c>
      <c r="F97" t="s">
        <v>409</v>
      </c>
      <c r="G97">
        <f>IF(OR(E97&lt;5, H97="NON", I97="NON", J97="NON"), "HAUTE", "MOYENNE")</f>
        <v>0</v>
      </c>
      <c r="H97" t="s">
        <v>415</v>
      </c>
      <c r="I97" t="s">
        <v>415</v>
      </c>
      <c r="J97" t="s">
        <v>415</v>
      </c>
      <c r="L97" t="s">
        <v>18</v>
      </c>
      <c r="M97" t="s">
        <v>417</v>
      </c>
      <c r="N97" t="s">
        <v>417</v>
      </c>
      <c r="Q97" t="s">
        <v>416</v>
      </c>
      <c r="R97" t="s">
        <v>316</v>
      </c>
      <c r="U97" t="s">
        <v>447</v>
      </c>
      <c r="V97" t="s">
        <v>502</v>
      </c>
      <c r="W97" t="s">
        <v>583</v>
      </c>
      <c r="X97" t="s">
        <v>718</v>
      </c>
      <c r="Y97" t="s">
        <v>418</v>
      </c>
      <c r="Z97">
        <f>IF(AND(H97="OUI", I97="OUI", J97="OUI"), "✅ COMPLET", "⚠️ À OPTIMISER")</f>
        <v>0</v>
      </c>
    </row>
    <row r="98" spans="1:26">
      <c r="A98">
        <v>97</v>
      </c>
      <c r="B98" t="s">
        <v>129</v>
      </c>
      <c r="C98" t="s">
        <v>317</v>
      </c>
      <c r="D98" t="s">
        <v>369</v>
      </c>
      <c r="E98" t="s">
        <v>373</v>
      </c>
      <c r="F98" t="s">
        <v>407</v>
      </c>
      <c r="G98">
        <f>IF(OR(E98&lt;5, H98="NON", I98="NON", J98="NON"), "HAUTE", "MOYENNE")</f>
        <v>0</v>
      </c>
      <c r="H98" t="s">
        <v>373</v>
      </c>
      <c r="I98" t="s">
        <v>415</v>
      </c>
      <c r="J98" t="s">
        <v>373</v>
      </c>
      <c r="L98" t="s">
        <v>416</v>
      </c>
      <c r="M98" t="s">
        <v>416</v>
      </c>
      <c r="N98" t="s">
        <v>417</v>
      </c>
      <c r="Q98" t="s">
        <v>416</v>
      </c>
      <c r="R98" t="s">
        <v>317</v>
      </c>
      <c r="U98" t="s">
        <v>423</v>
      </c>
      <c r="V98" t="s">
        <v>502</v>
      </c>
      <c r="W98" t="s">
        <v>584</v>
      </c>
      <c r="X98" t="s">
        <v>719</v>
      </c>
      <c r="Y98" t="s">
        <v>418</v>
      </c>
      <c r="Z98">
        <f>IF(AND(H98="OUI", I98="OUI", J98="OUI"), "✅ COMPLET", "⚠️ À OPTIMISER")</f>
        <v>0</v>
      </c>
    </row>
    <row r="99" spans="1:26">
      <c r="A99">
        <v>98</v>
      </c>
      <c r="B99" t="s">
        <v>130</v>
      </c>
      <c r="C99" t="s">
        <v>318</v>
      </c>
      <c r="D99" t="s">
        <v>366</v>
      </c>
      <c r="E99" t="s">
        <v>379</v>
      </c>
      <c r="F99" t="s">
        <v>408</v>
      </c>
      <c r="G99">
        <f>IF(OR(E99&lt;5, H99="NON", I99="NON", J99="NON"), "HAUTE", "MOYENNE")</f>
        <v>0</v>
      </c>
      <c r="H99" t="s">
        <v>415</v>
      </c>
      <c r="I99" t="s">
        <v>415</v>
      </c>
      <c r="J99" t="s">
        <v>373</v>
      </c>
      <c r="L99" t="s">
        <v>416</v>
      </c>
      <c r="M99" t="s">
        <v>417</v>
      </c>
      <c r="N99" t="s">
        <v>417</v>
      </c>
      <c r="Q99" t="s">
        <v>416</v>
      </c>
      <c r="R99" t="s">
        <v>318</v>
      </c>
      <c r="U99" t="s">
        <v>476</v>
      </c>
      <c r="V99" t="s">
        <v>502</v>
      </c>
      <c r="W99" t="s">
        <v>585</v>
      </c>
      <c r="X99" t="s">
        <v>720</v>
      </c>
      <c r="Y99" t="s">
        <v>418</v>
      </c>
      <c r="Z99">
        <f>IF(AND(H99="OUI", I99="OUI", J99="OUI"), "✅ COMPLET", "⚠️ À OPTIMISER")</f>
        <v>0</v>
      </c>
    </row>
    <row r="100" spans="1:26">
      <c r="A100">
        <v>99</v>
      </c>
      <c r="B100" t="s">
        <v>131</v>
      </c>
      <c r="C100" t="s">
        <v>265</v>
      </c>
      <c r="D100" t="s">
        <v>366</v>
      </c>
      <c r="E100" t="s">
        <v>374</v>
      </c>
      <c r="F100" t="s">
        <v>408</v>
      </c>
      <c r="G100">
        <f>IF(OR(E100&lt;5, H100="NON", I100="NON", J100="NON"), "HAUTE", "MOYENNE")</f>
        <v>0</v>
      </c>
      <c r="H100" t="s">
        <v>415</v>
      </c>
      <c r="I100" t="s">
        <v>373</v>
      </c>
      <c r="J100" t="s">
        <v>373</v>
      </c>
      <c r="L100" t="s">
        <v>416</v>
      </c>
      <c r="M100" t="s">
        <v>417</v>
      </c>
      <c r="N100" t="s">
        <v>416</v>
      </c>
      <c r="Q100" t="s">
        <v>416</v>
      </c>
      <c r="R100" t="s">
        <v>265</v>
      </c>
      <c r="U100" t="s">
        <v>469</v>
      </c>
      <c r="V100" t="s">
        <v>502</v>
      </c>
      <c r="W100" t="s">
        <v>540</v>
      </c>
      <c r="X100" t="s">
        <v>681</v>
      </c>
      <c r="Y100" t="s">
        <v>418</v>
      </c>
      <c r="Z100">
        <f>IF(AND(H100="OUI", I100="OUI", J100="OUI"), "✅ COMPLET", "⚠️ À OPTIMISER")</f>
        <v>0</v>
      </c>
    </row>
    <row r="101" spans="1:26">
      <c r="A101">
        <v>100</v>
      </c>
      <c r="B101" t="s">
        <v>132</v>
      </c>
      <c r="C101" t="s">
        <v>319</v>
      </c>
      <c r="D101" t="s">
        <v>366</v>
      </c>
      <c r="E101" t="s">
        <v>379</v>
      </c>
      <c r="F101" t="s">
        <v>406</v>
      </c>
      <c r="G101">
        <f>IF(OR(E101&lt;5, H101="NON", I101="NON", J101="NON"), "HAUTE", "MOYENNE")</f>
        <v>0</v>
      </c>
      <c r="H101" t="s">
        <v>415</v>
      </c>
      <c r="I101" t="s">
        <v>415</v>
      </c>
      <c r="J101" t="s">
        <v>415</v>
      </c>
      <c r="L101" t="s">
        <v>416</v>
      </c>
      <c r="M101" t="s">
        <v>417</v>
      </c>
      <c r="N101" t="s">
        <v>417</v>
      </c>
      <c r="Q101" t="s">
        <v>416</v>
      </c>
      <c r="R101" t="s">
        <v>319</v>
      </c>
      <c r="U101" t="s">
        <v>477</v>
      </c>
      <c r="V101" t="s">
        <v>502</v>
      </c>
      <c r="W101" t="s">
        <v>586</v>
      </c>
      <c r="X101" t="s">
        <v>721</v>
      </c>
      <c r="Y101" t="s">
        <v>418</v>
      </c>
      <c r="Z101">
        <f>IF(AND(H101="OUI", I101="OUI", J101="OUI"), "✅ COMPLET", "⚠️ À OPTIMISER")</f>
        <v>0</v>
      </c>
    </row>
    <row r="102" spans="1:26">
      <c r="A102">
        <v>101</v>
      </c>
      <c r="B102" t="s">
        <v>133</v>
      </c>
      <c r="C102" t="s">
        <v>320</v>
      </c>
      <c r="D102" t="s">
        <v>366</v>
      </c>
      <c r="E102" t="s">
        <v>393</v>
      </c>
      <c r="F102" t="s">
        <v>409</v>
      </c>
      <c r="G102">
        <f>IF(OR(E102&lt;5, H102="NON", I102="NON", J102="NON"), "HAUTE", "MOYENNE")</f>
        <v>0</v>
      </c>
      <c r="H102" t="s">
        <v>415</v>
      </c>
      <c r="I102" t="s">
        <v>415</v>
      </c>
      <c r="J102" t="s">
        <v>415</v>
      </c>
      <c r="L102" t="s">
        <v>416</v>
      </c>
      <c r="M102" t="s">
        <v>417</v>
      </c>
      <c r="N102" t="s">
        <v>417</v>
      </c>
      <c r="Q102" t="s">
        <v>416</v>
      </c>
      <c r="R102" t="s">
        <v>320</v>
      </c>
      <c r="U102" t="s">
        <v>470</v>
      </c>
      <c r="V102" t="s">
        <v>502</v>
      </c>
      <c r="W102" t="s">
        <v>587</v>
      </c>
      <c r="X102" t="s">
        <v>722</v>
      </c>
      <c r="Y102" t="s">
        <v>418</v>
      </c>
      <c r="Z102">
        <f>IF(AND(H102="OUI", I102="OUI", J102="OUI"), "✅ COMPLET", "⚠️ À OPTIMISER")</f>
        <v>0</v>
      </c>
    </row>
    <row r="103" spans="1:26">
      <c r="A103">
        <v>102</v>
      </c>
      <c r="B103" t="s">
        <v>134</v>
      </c>
      <c r="C103" t="s">
        <v>321</v>
      </c>
      <c r="D103" t="s">
        <v>366</v>
      </c>
      <c r="E103" t="s">
        <v>389</v>
      </c>
      <c r="F103" t="s">
        <v>406</v>
      </c>
      <c r="G103">
        <f>IF(OR(E103&lt;5, H103="NON", I103="NON", J103="NON"), "HAUTE", "MOYENNE")</f>
        <v>0</v>
      </c>
      <c r="H103" t="s">
        <v>415</v>
      </c>
      <c r="I103" t="s">
        <v>415</v>
      </c>
      <c r="J103" t="s">
        <v>415</v>
      </c>
      <c r="L103" t="s">
        <v>416</v>
      </c>
      <c r="M103" t="s">
        <v>417</v>
      </c>
      <c r="N103" t="s">
        <v>417</v>
      </c>
      <c r="Q103" t="s">
        <v>416</v>
      </c>
      <c r="R103" t="s">
        <v>279</v>
      </c>
      <c r="U103" t="s">
        <v>478</v>
      </c>
      <c r="V103" t="s">
        <v>502</v>
      </c>
      <c r="W103" t="s">
        <v>588</v>
      </c>
      <c r="X103" t="s">
        <v>723</v>
      </c>
      <c r="Y103" t="s">
        <v>418</v>
      </c>
      <c r="Z103">
        <f>IF(AND(H103="OUI", I103="OUI", J103="OUI"), "✅ COMPLET", "⚠️ À OPTIMISER")</f>
        <v>0</v>
      </c>
    </row>
    <row r="104" spans="1:26">
      <c r="A104">
        <v>103</v>
      </c>
      <c r="B104" t="s">
        <v>135</v>
      </c>
      <c r="C104" t="s">
        <v>322</v>
      </c>
      <c r="D104" t="s">
        <v>366</v>
      </c>
      <c r="E104" t="s">
        <v>377</v>
      </c>
      <c r="F104" t="s">
        <v>409</v>
      </c>
      <c r="G104">
        <f>IF(OR(E104&lt;5, H104="NON", I104="NON", J104="NON"), "HAUTE", "MOYENNE")</f>
        <v>0</v>
      </c>
      <c r="H104" t="s">
        <v>415</v>
      </c>
      <c r="I104" t="s">
        <v>415</v>
      </c>
      <c r="J104" t="s">
        <v>415</v>
      </c>
      <c r="L104" t="s">
        <v>416</v>
      </c>
      <c r="M104" t="s">
        <v>417</v>
      </c>
      <c r="N104" t="s">
        <v>417</v>
      </c>
      <c r="Q104" t="s">
        <v>416</v>
      </c>
      <c r="R104" t="s">
        <v>322</v>
      </c>
      <c r="U104" t="s">
        <v>469</v>
      </c>
      <c r="V104" t="s">
        <v>502</v>
      </c>
      <c r="W104" t="s">
        <v>589</v>
      </c>
      <c r="X104" t="s">
        <v>724</v>
      </c>
      <c r="Y104" t="s">
        <v>418</v>
      </c>
      <c r="Z104">
        <f>IF(AND(H104="OUI", I104="OUI", J104="OUI"), "✅ COMPLET", "⚠️ À OPTIMISER")</f>
        <v>0</v>
      </c>
    </row>
    <row r="105" spans="1:26">
      <c r="A105">
        <v>104</v>
      </c>
      <c r="B105" t="s">
        <v>136</v>
      </c>
      <c r="C105" t="s">
        <v>323</v>
      </c>
      <c r="D105" t="s">
        <v>366</v>
      </c>
      <c r="E105" t="s">
        <v>393</v>
      </c>
      <c r="F105" t="s">
        <v>408</v>
      </c>
      <c r="G105">
        <f>IF(OR(E105&lt;5, H105="NON", I105="NON", J105="NON"), "HAUTE", "MOYENNE")</f>
        <v>0</v>
      </c>
      <c r="H105" t="s">
        <v>415</v>
      </c>
      <c r="I105" t="s">
        <v>415</v>
      </c>
      <c r="J105" t="s">
        <v>373</v>
      </c>
      <c r="L105" t="s">
        <v>416</v>
      </c>
      <c r="M105" t="s">
        <v>417</v>
      </c>
      <c r="N105" t="s">
        <v>417</v>
      </c>
      <c r="Q105" t="s">
        <v>416</v>
      </c>
      <c r="R105" t="s">
        <v>323</v>
      </c>
      <c r="U105" t="s">
        <v>479</v>
      </c>
      <c r="V105" t="s">
        <v>502</v>
      </c>
      <c r="W105" t="s">
        <v>590</v>
      </c>
      <c r="X105" t="s">
        <v>725</v>
      </c>
      <c r="Y105" t="s">
        <v>418</v>
      </c>
      <c r="Z105">
        <f>IF(AND(H105="OUI", I105="OUI", J105="OUI"), "✅ COMPLET", "⚠️ À OPTIMISER")</f>
        <v>0</v>
      </c>
    </row>
    <row r="106" spans="1:26">
      <c r="A106">
        <v>105</v>
      </c>
      <c r="B106" t="s">
        <v>137</v>
      </c>
      <c r="C106" t="s">
        <v>324</v>
      </c>
      <c r="D106" t="s">
        <v>366</v>
      </c>
      <c r="E106" t="s">
        <v>391</v>
      </c>
      <c r="F106" t="s">
        <v>408</v>
      </c>
      <c r="G106">
        <f>IF(OR(E106&lt;5, H106="NON", I106="NON", J106="NON"), "HAUTE", "MOYENNE")</f>
        <v>0</v>
      </c>
      <c r="H106" t="s">
        <v>415</v>
      </c>
      <c r="I106" t="s">
        <v>415</v>
      </c>
      <c r="J106" t="s">
        <v>415</v>
      </c>
      <c r="L106" t="s">
        <v>416</v>
      </c>
      <c r="M106" t="s">
        <v>417</v>
      </c>
      <c r="N106" t="s">
        <v>417</v>
      </c>
      <c r="Q106" t="s">
        <v>416</v>
      </c>
      <c r="R106" t="s">
        <v>324</v>
      </c>
      <c r="U106" t="s">
        <v>480</v>
      </c>
      <c r="V106" t="s">
        <v>502</v>
      </c>
      <c r="W106" t="s">
        <v>591</v>
      </c>
      <c r="X106" t="s">
        <v>726</v>
      </c>
      <c r="Y106" t="s">
        <v>418</v>
      </c>
      <c r="Z106">
        <f>IF(AND(H106="OUI", I106="OUI", J106="OUI"), "✅ COMPLET", "⚠️ À OPTIMISER")</f>
        <v>0</v>
      </c>
    </row>
    <row r="107" spans="1:26">
      <c r="A107">
        <v>106</v>
      </c>
      <c r="B107" t="s">
        <v>138</v>
      </c>
      <c r="C107" t="s">
        <v>325</v>
      </c>
      <c r="D107" t="s">
        <v>366</v>
      </c>
      <c r="E107" t="s">
        <v>389</v>
      </c>
      <c r="F107" t="s">
        <v>406</v>
      </c>
      <c r="G107">
        <f>IF(OR(E107&lt;5, H107="NON", I107="NON", J107="NON"), "HAUTE", "MOYENNE")</f>
        <v>0</v>
      </c>
      <c r="H107" t="s">
        <v>415</v>
      </c>
      <c r="I107" t="s">
        <v>415</v>
      </c>
      <c r="J107" t="s">
        <v>415</v>
      </c>
      <c r="L107" t="s">
        <v>416</v>
      </c>
      <c r="M107" t="s">
        <v>417</v>
      </c>
      <c r="N107" t="s">
        <v>417</v>
      </c>
      <c r="Q107" t="s">
        <v>416</v>
      </c>
      <c r="R107" t="s">
        <v>325</v>
      </c>
      <c r="U107" t="s">
        <v>481</v>
      </c>
      <c r="V107" t="s">
        <v>502</v>
      </c>
      <c r="W107" t="s">
        <v>592</v>
      </c>
      <c r="X107" t="s">
        <v>727</v>
      </c>
      <c r="Y107" t="s">
        <v>418</v>
      </c>
      <c r="Z107">
        <f>IF(AND(H107="OUI", I107="OUI", J107="OUI"), "✅ COMPLET", "⚠️ À OPTIMISER")</f>
        <v>0</v>
      </c>
    </row>
    <row r="108" spans="1:26">
      <c r="A108">
        <v>107</v>
      </c>
      <c r="B108" t="s">
        <v>139</v>
      </c>
      <c r="C108" t="s">
        <v>326</v>
      </c>
      <c r="D108" t="s">
        <v>367</v>
      </c>
      <c r="E108" t="s">
        <v>398</v>
      </c>
      <c r="F108" t="s">
        <v>409</v>
      </c>
      <c r="G108">
        <f>IF(OR(E108&lt;5, H108="NON", I108="NON", J108="NON"), "HAUTE", "MOYENNE")</f>
        <v>0</v>
      </c>
      <c r="H108" t="s">
        <v>415</v>
      </c>
      <c r="I108" t="s">
        <v>415</v>
      </c>
      <c r="J108" t="s">
        <v>415</v>
      </c>
      <c r="L108" t="s">
        <v>18</v>
      </c>
      <c r="M108" t="s">
        <v>417</v>
      </c>
      <c r="N108" t="s">
        <v>417</v>
      </c>
      <c r="Q108" t="s">
        <v>416</v>
      </c>
      <c r="R108" t="s">
        <v>326</v>
      </c>
      <c r="U108" t="s">
        <v>447</v>
      </c>
      <c r="V108" t="s">
        <v>502</v>
      </c>
      <c r="W108" t="s">
        <v>593</v>
      </c>
      <c r="X108" t="s">
        <v>728</v>
      </c>
      <c r="Y108" t="s">
        <v>418</v>
      </c>
      <c r="Z108">
        <f>IF(AND(H108="OUI", I108="OUI", J108="OUI"), "✅ COMPLET", "⚠️ À OPTIMISER")</f>
        <v>0</v>
      </c>
    </row>
    <row r="109" spans="1:26">
      <c r="A109">
        <v>108</v>
      </c>
      <c r="B109" t="s">
        <v>140</v>
      </c>
      <c r="C109" t="s">
        <v>247</v>
      </c>
      <c r="D109" t="s">
        <v>366</v>
      </c>
      <c r="E109" t="s">
        <v>396</v>
      </c>
      <c r="F109" t="s">
        <v>408</v>
      </c>
      <c r="G109">
        <f>IF(OR(E109&lt;5, H109="NON", I109="NON", J109="NON"), "HAUTE", "MOYENNE")</f>
        <v>0</v>
      </c>
      <c r="H109" t="s">
        <v>415</v>
      </c>
      <c r="I109" t="s">
        <v>373</v>
      </c>
      <c r="J109" t="s">
        <v>373</v>
      </c>
      <c r="L109" t="s">
        <v>416</v>
      </c>
      <c r="M109" t="s">
        <v>417</v>
      </c>
      <c r="N109" t="s">
        <v>416</v>
      </c>
      <c r="Q109" t="s">
        <v>416</v>
      </c>
      <c r="R109" t="s">
        <v>247</v>
      </c>
      <c r="U109" t="s">
        <v>473</v>
      </c>
      <c r="V109" t="s">
        <v>502</v>
      </c>
      <c r="W109" t="s">
        <v>543</v>
      </c>
      <c r="X109" t="s">
        <v>729</v>
      </c>
      <c r="Y109" t="s">
        <v>418</v>
      </c>
      <c r="Z109">
        <f>IF(AND(H109="OUI", I109="OUI", J109="OUI"), "✅ COMPLET", "⚠️ À OPTIMISER")</f>
        <v>0</v>
      </c>
    </row>
    <row r="110" spans="1:26">
      <c r="A110">
        <v>109</v>
      </c>
      <c r="B110" t="s">
        <v>141</v>
      </c>
      <c r="C110" t="s">
        <v>238</v>
      </c>
      <c r="D110" t="s">
        <v>366</v>
      </c>
      <c r="E110" t="s">
        <v>371</v>
      </c>
      <c r="F110" t="s">
        <v>406</v>
      </c>
      <c r="G110">
        <f>IF(OR(E110&lt;5, H110="NON", I110="NON", J110="NON"), "HAUTE", "MOYENNE")</f>
        <v>0</v>
      </c>
      <c r="H110" t="s">
        <v>415</v>
      </c>
      <c r="I110" t="s">
        <v>415</v>
      </c>
      <c r="J110" t="s">
        <v>415</v>
      </c>
      <c r="L110" t="s">
        <v>416</v>
      </c>
      <c r="M110" t="s">
        <v>417</v>
      </c>
      <c r="N110" t="s">
        <v>417</v>
      </c>
      <c r="Q110" t="s">
        <v>416</v>
      </c>
      <c r="R110" t="s">
        <v>238</v>
      </c>
      <c r="U110" t="s">
        <v>482</v>
      </c>
      <c r="V110" t="s">
        <v>502</v>
      </c>
      <c r="W110" t="s">
        <v>594</v>
      </c>
      <c r="X110" t="s">
        <v>730</v>
      </c>
      <c r="Y110" t="s">
        <v>418</v>
      </c>
      <c r="Z110">
        <f>IF(AND(H110="OUI", I110="OUI", J110="OUI"), "✅ COMPLET", "⚠️ À OPTIMISER")</f>
        <v>0</v>
      </c>
    </row>
    <row r="111" spans="1:26">
      <c r="A111">
        <v>110</v>
      </c>
      <c r="B111" t="s">
        <v>142</v>
      </c>
      <c r="C111" t="s">
        <v>327</v>
      </c>
      <c r="D111" t="s">
        <v>366</v>
      </c>
      <c r="E111" t="s">
        <v>378</v>
      </c>
      <c r="F111" t="s">
        <v>408</v>
      </c>
      <c r="G111">
        <f>IF(OR(E111&lt;5, H111="NON", I111="NON", J111="NON"), "HAUTE", "MOYENNE")</f>
        <v>0</v>
      </c>
      <c r="H111" t="s">
        <v>415</v>
      </c>
      <c r="I111" t="s">
        <v>415</v>
      </c>
      <c r="J111" t="s">
        <v>415</v>
      </c>
      <c r="L111" t="s">
        <v>416</v>
      </c>
      <c r="M111" t="s">
        <v>417</v>
      </c>
      <c r="N111" t="s">
        <v>417</v>
      </c>
      <c r="Q111" t="s">
        <v>416</v>
      </c>
      <c r="R111" t="s">
        <v>327</v>
      </c>
      <c r="U111" t="s">
        <v>459</v>
      </c>
      <c r="V111" t="s">
        <v>502</v>
      </c>
      <c r="W111" t="s">
        <v>595</v>
      </c>
      <c r="X111" t="s">
        <v>731</v>
      </c>
      <c r="Y111" t="s">
        <v>418</v>
      </c>
      <c r="Z111">
        <f>IF(AND(H111="OUI", I111="OUI", J111="OUI"), "✅ COMPLET", "⚠️ À OPTIMISER")</f>
        <v>0</v>
      </c>
    </row>
    <row r="112" spans="1:26">
      <c r="A112">
        <v>111</v>
      </c>
      <c r="B112" t="s">
        <v>143</v>
      </c>
      <c r="C112" t="s">
        <v>328</v>
      </c>
      <c r="D112" t="s">
        <v>366</v>
      </c>
      <c r="E112" t="s">
        <v>381</v>
      </c>
      <c r="F112" t="s">
        <v>409</v>
      </c>
      <c r="G112">
        <f>IF(OR(E112&lt;5, H112="NON", I112="NON", J112="NON"), "HAUTE", "MOYENNE")</f>
        <v>0</v>
      </c>
      <c r="H112" t="s">
        <v>415</v>
      </c>
      <c r="I112" t="s">
        <v>415</v>
      </c>
      <c r="J112" t="s">
        <v>415</v>
      </c>
      <c r="L112" t="s">
        <v>18</v>
      </c>
      <c r="M112" t="s">
        <v>417</v>
      </c>
      <c r="N112" t="s">
        <v>417</v>
      </c>
      <c r="Q112" t="s">
        <v>416</v>
      </c>
      <c r="R112" t="s">
        <v>328</v>
      </c>
      <c r="U112" t="s">
        <v>483</v>
      </c>
      <c r="V112" t="s">
        <v>502</v>
      </c>
      <c r="W112" t="s">
        <v>596</v>
      </c>
      <c r="X112" t="s">
        <v>732</v>
      </c>
      <c r="Y112" t="s">
        <v>418</v>
      </c>
      <c r="Z112">
        <f>IF(AND(H112="OUI", I112="OUI", J112="OUI"), "✅ COMPLET", "⚠️ À OPTIMISER")</f>
        <v>0</v>
      </c>
    </row>
    <row r="113" spans="1:26">
      <c r="A113">
        <v>112</v>
      </c>
      <c r="B113" t="s">
        <v>144</v>
      </c>
      <c r="C113" t="s">
        <v>329</v>
      </c>
      <c r="D113" t="s">
        <v>366</v>
      </c>
      <c r="E113" t="s">
        <v>371</v>
      </c>
      <c r="F113" t="s">
        <v>408</v>
      </c>
      <c r="G113">
        <f>IF(OR(E113&lt;5, H113="NON", I113="NON", J113="NON"), "HAUTE", "MOYENNE")</f>
        <v>0</v>
      </c>
      <c r="H113" t="s">
        <v>415</v>
      </c>
      <c r="I113" t="s">
        <v>373</v>
      </c>
      <c r="J113" t="s">
        <v>415</v>
      </c>
      <c r="L113" t="s">
        <v>416</v>
      </c>
      <c r="M113" t="s">
        <v>417</v>
      </c>
      <c r="N113" t="s">
        <v>416</v>
      </c>
      <c r="Q113" t="s">
        <v>416</v>
      </c>
      <c r="R113" t="s">
        <v>329</v>
      </c>
      <c r="U113" t="s">
        <v>484</v>
      </c>
      <c r="V113" t="s">
        <v>502</v>
      </c>
      <c r="W113" t="s">
        <v>597</v>
      </c>
      <c r="X113" t="s">
        <v>733</v>
      </c>
      <c r="Y113" t="s">
        <v>418</v>
      </c>
      <c r="Z113">
        <f>IF(AND(H113="OUI", I113="OUI", J113="OUI"), "✅ COMPLET", "⚠️ À OPTIMISER")</f>
        <v>0</v>
      </c>
    </row>
    <row r="114" spans="1:26">
      <c r="A114">
        <v>113</v>
      </c>
      <c r="B114" t="s">
        <v>145</v>
      </c>
      <c r="C114" t="s">
        <v>330</v>
      </c>
      <c r="D114" t="s">
        <v>366</v>
      </c>
      <c r="E114" t="s">
        <v>388</v>
      </c>
      <c r="F114" t="s">
        <v>410</v>
      </c>
      <c r="G114">
        <f>IF(OR(E114&lt;5, H114="NON", I114="NON", J114="NON"), "HAUTE", "MOYENNE")</f>
        <v>0</v>
      </c>
      <c r="H114" t="s">
        <v>415</v>
      </c>
      <c r="I114" t="s">
        <v>415</v>
      </c>
      <c r="J114" t="s">
        <v>415</v>
      </c>
      <c r="L114" t="s">
        <v>416</v>
      </c>
      <c r="M114" t="s">
        <v>417</v>
      </c>
      <c r="N114" t="s">
        <v>417</v>
      </c>
      <c r="Q114" t="s">
        <v>416</v>
      </c>
      <c r="R114" t="s">
        <v>330</v>
      </c>
      <c r="U114" t="s">
        <v>485</v>
      </c>
      <c r="V114" t="s">
        <v>502</v>
      </c>
      <c r="W114" t="s">
        <v>598</v>
      </c>
      <c r="X114" t="s">
        <v>734</v>
      </c>
      <c r="Y114" t="s">
        <v>418</v>
      </c>
      <c r="Z114">
        <f>IF(AND(H114="OUI", I114="OUI", J114="OUI"), "✅ COMPLET", "⚠️ À OPTIMISER")</f>
        <v>0</v>
      </c>
    </row>
    <row r="115" spans="1:26">
      <c r="A115">
        <v>114</v>
      </c>
      <c r="B115" t="s">
        <v>146</v>
      </c>
      <c r="C115" t="s">
        <v>331</v>
      </c>
      <c r="D115" t="s">
        <v>366</v>
      </c>
      <c r="E115" t="s">
        <v>393</v>
      </c>
      <c r="F115" t="s">
        <v>406</v>
      </c>
      <c r="G115">
        <f>IF(OR(E115&lt;5, H115="NON", I115="NON", J115="NON"), "HAUTE", "MOYENNE")</f>
        <v>0</v>
      </c>
      <c r="H115" t="s">
        <v>415</v>
      </c>
      <c r="I115" t="s">
        <v>415</v>
      </c>
      <c r="J115" t="s">
        <v>415</v>
      </c>
      <c r="L115" t="s">
        <v>416</v>
      </c>
      <c r="M115" t="s">
        <v>417</v>
      </c>
      <c r="N115" t="s">
        <v>417</v>
      </c>
      <c r="Q115" t="s">
        <v>416</v>
      </c>
      <c r="R115" t="s">
        <v>331</v>
      </c>
      <c r="U115" t="s">
        <v>449</v>
      </c>
      <c r="V115" t="s">
        <v>502</v>
      </c>
      <c r="W115" t="s">
        <v>539</v>
      </c>
      <c r="X115" t="s">
        <v>679</v>
      </c>
      <c r="Y115" t="s">
        <v>418</v>
      </c>
      <c r="Z115">
        <f>IF(AND(H115="OUI", I115="OUI", J115="OUI"), "✅ COMPLET", "⚠️ À OPTIMISER")</f>
        <v>0</v>
      </c>
    </row>
    <row r="116" spans="1:26">
      <c r="A116">
        <v>115</v>
      </c>
      <c r="B116" t="s">
        <v>147</v>
      </c>
      <c r="C116" t="s">
        <v>332</v>
      </c>
      <c r="D116" t="s">
        <v>366</v>
      </c>
      <c r="E116" t="s">
        <v>398</v>
      </c>
      <c r="F116" t="s">
        <v>406</v>
      </c>
      <c r="G116">
        <f>IF(OR(E116&lt;5, H116="NON", I116="NON", J116="NON"), "HAUTE", "MOYENNE")</f>
        <v>0</v>
      </c>
      <c r="H116" t="s">
        <v>415</v>
      </c>
      <c r="I116" t="s">
        <v>415</v>
      </c>
      <c r="J116" t="s">
        <v>415</v>
      </c>
      <c r="L116" t="s">
        <v>416</v>
      </c>
      <c r="M116" t="s">
        <v>417</v>
      </c>
      <c r="N116" t="s">
        <v>417</v>
      </c>
      <c r="Q116" t="s">
        <v>416</v>
      </c>
      <c r="R116" t="s">
        <v>419</v>
      </c>
      <c r="U116" t="s">
        <v>486</v>
      </c>
      <c r="V116" t="s">
        <v>502</v>
      </c>
      <c r="W116" t="s">
        <v>599</v>
      </c>
      <c r="X116" t="s">
        <v>735</v>
      </c>
      <c r="Y116" t="s">
        <v>418</v>
      </c>
      <c r="Z116">
        <f>IF(AND(H116="OUI", I116="OUI", J116="OUI"), "✅ COMPLET", "⚠️ À OPTIMISER")</f>
        <v>0</v>
      </c>
    </row>
    <row r="117" spans="1:26">
      <c r="A117">
        <v>116</v>
      </c>
      <c r="B117" t="s">
        <v>148</v>
      </c>
      <c r="C117" t="s">
        <v>333</v>
      </c>
      <c r="D117" t="s">
        <v>366</v>
      </c>
      <c r="E117" t="s">
        <v>377</v>
      </c>
      <c r="F117" t="s">
        <v>406</v>
      </c>
      <c r="G117">
        <f>IF(OR(E117&lt;5, H117="NON", I117="NON", J117="NON"), "HAUTE", "MOYENNE")</f>
        <v>0</v>
      </c>
      <c r="H117" t="s">
        <v>415</v>
      </c>
      <c r="I117" t="s">
        <v>415</v>
      </c>
      <c r="J117" t="s">
        <v>415</v>
      </c>
      <c r="L117" t="s">
        <v>416</v>
      </c>
      <c r="M117" t="s">
        <v>417</v>
      </c>
      <c r="N117" t="s">
        <v>417</v>
      </c>
      <c r="Q117" t="s">
        <v>416</v>
      </c>
      <c r="R117" t="s">
        <v>333</v>
      </c>
      <c r="U117" t="s">
        <v>487</v>
      </c>
      <c r="V117" t="s">
        <v>502</v>
      </c>
      <c r="W117" t="s">
        <v>600</v>
      </c>
      <c r="X117" t="s">
        <v>736</v>
      </c>
      <c r="Y117" t="s">
        <v>418</v>
      </c>
      <c r="Z117">
        <f>IF(AND(H117="OUI", I117="OUI", J117="OUI"), "✅ COMPLET", "⚠️ À OPTIMISER")</f>
        <v>0</v>
      </c>
    </row>
    <row r="118" spans="1:26">
      <c r="A118">
        <v>117</v>
      </c>
      <c r="B118" t="s">
        <v>149</v>
      </c>
      <c r="C118" t="s">
        <v>334</v>
      </c>
      <c r="D118" t="s">
        <v>366</v>
      </c>
      <c r="E118" t="s">
        <v>371</v>
      </c>
      <c r="F118" t="s">
        <v>408</v>
      </c>
      <c r="G118">
        <f>IF(OR(E118&lt;5, H118="NON", I118="NON", J118="NON"), "HAUTE", "MOYENNE")</f>
        <v>0</v>
      </c>
      <c r="H118" t="s">
        <v>415</v>
      </c>
      <c r="I118" t="s">
        <v>373</v>
      </c>
      <c r="J118" t="s">
        <v>415</v>
      </c>
      <c r="L118" t="s">
        <v>416</v>
      </c>
      <c r="M118" t="s">
        <v>417</v>
      </c>
      <c r="N118" t="s">
        <v>416</v>
      </c>
      <c r="Q118" t="s">
        <v>416</v>
      </c>
      <c r="R118" t="s">
        <v>334</v>
      </c>
      <c r="U118" t="s">
        <v>488</v>
      </c>
      <c r="V118" t="s">
        <v>502</v>
      </c>
      <c r="W118" t="s">
        <v>601</v>
      </c>
      <c r="X118" t="s">
        <v>737</v>
      </c>
      <c r="Y118" t="s">
        <v>418</v>
      </c>
      <c r="Z118">
        <f>IF(AND(H118="OUI", I118="OUI", J118="OUI"), "✅ COMPLET", "⚠️ À OPTIMISER")</f>
        <v>0</v>
      </c>
    </row>
    <row r="119" spans="1:26">
      <c r="A119">
        <v>118</v>
      </c>
      <c r="B119" t="s">
        <v>150</v>
      </c>
      <c r="C119" t="s">
        <v>335</v>
      </c>
      <c r="D119" t="s">
        <v>366</v>
      </c>
      <c r="E119" t="s">
        <v>383</v>
      </c>
      <c r="F119" t="s">
        <v>408</v>
      </c>
      <c r="G119">
        <f>IF(OR(E119&lt;5, H119="NON", I119="NON", J119="NON"), "HAUTE", "MOYENNE")</f>
        <v>0</v>
      </c>
      <c r="H119" t="s">
        <v>415</v>
      </c>
      <c r="I119" t="s">
        <v>415</v>
      </c>
      <c r="J119" t="s">
        <v>415</v>
      </c>
      <c r="L119" t="s">
        <v>416</v>
      </c>
      <c r="M119" t="s">
        <v>417</v>
      </c>
      <c r="N119" t="s">
        <v>417</v>
      </c>
      <c r="Q119" t="s">
        <v>416</v>
      </c>
      <c r="R119" t="s">
        <v>335</v>
      </c>
      <c r="U119" t="s">
        <v>489</v>
      </c>
      <c r="V119" t="s">
        <v>502</v>
      </c>
      <c r="W119" t="s">
        <v>602</v>
      </c>
      <c r="X119" t="s">
        <v>738</v>
      </c>
      <c r="Y119" t="s">
        <v>418</v>
      </c>
      <c r="Z119">
        <f>IF(AND(H119="OUI", I119="OUI", J119="OUI"), "✅ COMPLET", "⚠️ À OPTIMISER")</f>
        <v>0</v>
      </c>
    </row>
    <row r="120" spans="1:26">
      <c r="A120">
        <v>119</v>
      </c>
      <c r="B120" t="s">
        <v>151</v>
      </c>
      <c r="C120" t="s">
        <v>336</v>
      </c>
      <c r="D120" t="s">
        <v>366</v>
      </c>
      <c r="E120" t="s">
        <v>376</v>
      </c>
      <c r="F120" t="s">
        <v>408</v>
      </c>
      <c r="G120">
        <f>IF(OR(E120&lt;5, H120="NON", I120="NON", J120="NON"), "HAUTE", "MOYENNE")</f>
        <v>0</v>
      </c>
      <c r="H120" t="s">
        <v>415</v>
      </c>
      <c r="I120" t="s">
        <v>373</v>
      </c>
      <c r="J120" t="s">
        <v>415</v>
      </c>
      <c r="L120" t="s">
        <v>416</v>
      </c>
      <c r="M120" t="s">
        <v>417</v>
      </c>
      <c r="N120" t="s">
        <v>416</v>
      </c>
      <c r="Q120" t="s">
        <v>416</v>
      </c>
      <c r="R120" t="s">
        <v>336</v>
      </c>
      <c r="U120" t="s">
        <v>489</v>
      </c>
      <c r="V120" t="s">
        <v>502</v>
      </c>
      <c r="W120" t="s">
        <v>602</v>
      </c>
      <c r="X120" t="s">
        <v>738</v>
      </c>
      <c r="Y120" t="s">
        <v>418</v>
      </c>
      <c r="Z120">
        <f>IF(AND(H120="OUI", I120="OUI", J120="OUI"), "✅ COMPLET", "⚠️ À OPTIMISER")</f>
        <v>0</v>
      </c>
    </row>
    <row r="121" spans="1:26">
      <c r="A121">
        <v>120</v>
      </c>
      <c r="B121" t="s">
        <v>152</v>
      </c>
      <c r="C121" t="s">
        <v>337</v>
      </c>
      <c r="D121" t="s">
        <v>366</v>
      </c>
      <c r="E121" t="s">
        <v>373</v>
      </c>
      <c r="F121" t="s">
        <v>408</v>
      </c>
      <c r="G121">
        <f>IF(OR(E121&lt;5, H121="NON", I121="NON", J121="NON"), "HAUTE", "MOYENNE")</f>
        <v>0</v>
      </c>
      <c r="H121" t="s">
        <v>373</v>
      </c>
      <c r="I121" t="s">
        <v>415</v>
      </c>
      <c r="J121" t="s">
        <v>373</v>
      </c>
      <c r="L121" t="s">
        <v>416</v>
      </c>
      <c r="M121" t="s">
        <v>416</v>
      </c>
      <c r="N121" t="s">
        <v>417</v>
      </c>
      <c r="Q121" t="s">
        <v>416</v>
      </c>
      <c r="U121" t="s">
        <v>416</v>
      </c>
      <c r="V121" t="s">
        <v>502</v>
      </c>
      <c r="W121" t="s">
        <v>602</v>
      </c>
      <c r="X121" t="s">
        <v>738</v>
      </c>
      <c r="Y121" t="s">
        <v>418</v>
      </c>
      <c r="Z121">
        <f>IF(AND(H121="OUI", I121="OUI", J121="OUI"), "✅ COMPLET", "⚠️ À OPTIMISER")</f>
        <v>0</v>
      </c>
    </row>
    <row r="122" spans="1:26">
      <c r="A122">
        <v>121</v>
      </c>
      <c r="B122" t="s">
        <v>153</v>
      </c>
      <c r="C122" t="s">
        <v>338</v>
      </c>
      <c r="D122" t="s">
        <v>366</v>
      </c>
      <c r="E122" t="s">
        <v>371</v>
      </c>
      <c r="F122" t="s">
        <v>406</v>
      </c>
      <c r="G122">
        <f>IF(OR(E122&lt;5, H122="NON", I122="NON", J122="NON"), "HAUTE", "MOYENNE")</f>
        <v>0</v>
      </c>
      <c r="H122" t="s">
        <v>415</v>
      </c>
      <c r="I122" t="s">
        <v>415</v>
      </c>
      <c r="J122" t="s">
        <v>415</v>
      </c>
      <c r="L122" t="s">
        <v>416</v>
      </c>
      <c r="M122" t="s">
        <v>417</v>
      </c>
      <c r="N122" t="s">
        <v>417</v>
      </c>
      <c r="Q122" t="s">
        <v>416</v>
      </c>
      <c r="R122" t="s">
        <v>338</v>
      </c>
      <c r="U122" t="s">
        <v>476</v>
      </c>
      <c r="V122" t="s">
        <v>502</v>
      </c>
      <c r="W122" t="s">
        <v>603</v>
      </c>
      <c r="X122" t="s">
        <v>739</v>
      </c>
      <c r="Y122" t="s">
        <v>418</v>
      </c>
      <c r="Z122">
        <f>IF(AND(H122="OUI", I122="OUI", J122="OUI"), "✅ COMPLET", "⚠️ À OPTIMISER")</f>
        <v>0</v>
      </c>
    </row>
    <row r="123" spans="1:26">
      <c r="A123">
        <v>122</v>
      </c>
      <c r="B123" t="s">
        <v>154</v>
      </c>
      <c r="C123" t="s">
        <v>261</v>
      </c>
      <c r="D123" t="s">
        <v>366</v>
      </c>
      <c r="E123" t="s">
        <v>402</v>
      </c>
      <c r="F123" t="s">
        <v>406</v>
      </c>
      <c r="G123">
        <f>IF(OR(E123&lt;5, H123="NON", I123="NON", J123="NON"), "HAUTE", "MOYENNE")</f>
        <v>0</v>
      </c>
      <c r="H123" t="s">
        <v>415</v>
      </c>
      <c r="I123" t="s">
        <v>415</v>
      </c>
      <c r="J123" t="s">
        <v>415</v>
      </c>
      <c r="L123" t="s">
        <v>416</v>
      </c>
      <c r="M123" t="s">
        <v>417</v>
      </c>
      <c r="N123" t="s">
        <v>417</v>
      </c>
      <c r="Q123" t="s">
        <v>416</v>
      </c>
      <c r="R123" t="s">
        <v>261</v>
      </c>
      <c r="U123" t="s">
        <v>471</v>
      </c>
      <c r="V123" t="s">
        <v>502</v>
      </c>
      <c r="W123" t="s">
        <v>604</v>
      </c>
      <c r="X123" t="s">
        <v>740</v>
      </c>
      <c r="Y123" t="s">
        <v>418</v>
      </c>
      <c r="Z123">
        <f>IF(AND(H123="OUI", I123="OUI", J123="OUI"), "✅ COMPLET", "⚠️ À OPTIMISER")</f>
        <v>0</v>
      </c>
    </row>
    <row r="124" spans="1:26">
      <c r="A124">
        <v>123</v>
      </c>
      <c r="B124" t="s">
        <v>155</v>
      </c>
      <c r="C124" t="s">
        <v>339</v>
      </c>
      <c r="D124" t="s">
        <v>366</v>
      </c>
      <c r="E124" t="s">
        <v>373</v>
      </c>
      <c r="F124" t="s">
        <v>409</v>
      </c>
      <c r="G124">
        <f>IF(OR(E124&lt;5, H124="NON", I124="NON", J124="NON"), "HAUTE", "MOYENNE")</f>
        <v>0</v>
      </c>
      <c r="H124" t="s">
        <v>373</v>
      </c>
      <c r="I124" t="s">
        <v>415</v>
      </c>
      <c r="J124" t="s">
        <v>373</v>
      </c>
      <c r="L124" t="s">
        <v>416</v>
      </c>
      <c r="M124" t="s">
        <v>416</v>
      </c>
      <c r="N124" t="s">
        <v>417</v>
      </c>
      <c r="Q124" t="s">
        <v>416</v>
      </c>
      <c r="U124" t="s">
        <v>416</v>
      </c>
      <c r="V124" t="s">
        <v>502</v>
      </c>
      <c r="W124" t="s">
        <v>605</v>
      </c>
      <c r="X124" t="s">
        <v>741</v>
      </c>
      <c r="Y124" t="s">
        <v>418</v>
      </c>
      <c r="Z124">
        <f>IF(AND(H124="OUI", I124="OUI", J124="OUI"), "✅ COMPLET", "⚠️ À OPTIMISER")</f>
        <v>0</v>
      </c>
    </row>
    <row r="125" spans="1:26">
      <c r="A125">
        <v>124</v>
      </c>
      <c r="B125" t="s">
        <v>156</v>
      </c>
      <c r="C125" t="s">
        <v>339</v>
      </c>
      <c r="D125" t="s">
        <v>366</v>
      </c>
      <c r="E125" t="s">
        <v>389</v>
      </c>
      <c r="F125" t="s">
        <v>408</v>
      </c>
      <c r="G125">
        <f>IF(OR(E125&lt;5, H125="NON", I125="NON", J125="NON"), "HAUTE", "MOYENNE")</f>
        <v>0</v>
      </c>
      <c r="H125" t="s">
        <v>415</v>
      </c>
      <c r="I125" t="s">
        <v>373</v>
      </c>
      <c r="J125" t="s">
        <v>415</v>
      </c>
      <c r="L125" t="s">
        <v>416</v>
      </c>
      <c r="M125" t="s">
        <v>417</v>
      </c>
      <c r="N125" t="s">
        <v>416</v>
      </c>
      <c r="Q125" t="s">
        <v>416</v>
      </c>
      <c r="R125" t="s">
        <v>339</v>
      </c>
      <c r="U125" t="s">
        <v>477</v>
      </c>
      <c r="V125" t="s">
        <v>502</v>
      </c>
      <c r="W125" t="s">
        <v>605</v>
      </c>
      <c r="X125" t="s">
        <v>741</v>
      </c>
      <c r="Y125" t="s">
        <v>418</v>
      </c>
      <c r="Z125">
        <f>IF(AND(H125="OUI", I125="OUI", J125="OUI"), "✅ COMPLET", "⚠️ À OPTIMISER")</f>
        <v>0</v>
      </c>
    </row>
    <row r="126" spans="1:26">
      <c r="A126">
        <v>125</v>
      </c>
      <c r="B126" t="s">
        <v>157</v>
      </c>
      <c r="C126" t="s">
        <v>340</v>
      </c>
      <c r="D126" t="s">
        <v>366</v>
      </c>
      <c r="E126" t="s">
        <v>391</v>
      </c>
      <c r="F126" t="s">
        <v>406</v>
      </c>
      <c r="G126">
        <f>IF(OR(E126&lt;5, H126="NON", I126="NON", J126="NON"), "HAUTE", "MOYENNE")</f>
        <v>0</v>
      </c>
      <c r="H126" t="s">
        <v>415</v>
      </c>
      <c r="I126" t="s">
        <v>415</v>
      </c>
      <c r="J126" t="s">
        <v>415</v>
      </c>
      <c r="L126" t="s">
        <v>18</v>
      </c>
      <c r="M126" t="s">
        <v>417</v>
      </c>
      <c r="N126" t="s">
        <v>417</v>
      </c>
      <c r="Q126" t="s">
        <v>416</v>
      </c>
      <c r="R126" t="s">
        <v>340</v>
      </c>
      <c r="U126" t="s">
        <v>474</v>
      </c>
      <c r="V126" t="s">
        <v>502</v>
      </c>
      <c r="W126" t="s">
        <v>606</v>
      </c>
      <c r="X126" t="s">
        <v>742</v>
      </c>
      <c r="Y126" t="s">
        <v>418</v>
      </c>
      <c r="Z126">
        <f>IF(AND(H126="OUI", I126="OUI", J126="OUI"), "✅ COMPLET", "⚠️ À OPTIMISER")</f>
        <v>0</v>
      </c>
    </row>
    <row r="127" spans="1:26">
      <c r="A127">
        <v>126</v>
      </c>
      <c r="B127" t="s">
        <v>158</v>
      </c>
      <c r="C127" t="s">
        <v>341</v>
      </c>
      <c r="D127" t="s">
        <v>366</v>
      </c>
      <c r="E127" t="s">
        <v>377</v>
      </c>
      <c r="F127" t="s">
        <v>408</v>
      </c>
      <c r="G127">
        <f>IF(OR(E127&lt;5, H127="NON", I127="NON", J127="NON"), "HAUTE", "MOYENNE")</f>
        <v>0</v>
      </c>
      <c r="H127" t="s">
        <v>415</v>
      </c>
      <c r="I127" t="s">
        <v>415</v>
      </c>
      <c r="J127" t="s">
        <v>415</v>
      </c>
      <c r="L127" t="s">
        <v>416</v>
      </c>
      <c r="M127" t="s">
        <v>417</v>
      </c>
      <c r="N127" t="s">
        <v>417</v>
      </c>
      <c r="Q127" t="s">
        <v>416</v>
      </c>
      <c r="R127" t="s">
        <v>341</v>
      </c>
      <c r="U127" t="s">
        <v>428</v>
      </c>
      <c r="V127" t="s">
        <v>502</v>
      </c>
      <c r="W127" t="s">
        <v>607</v>
      </c>
      <c r="X127" t="s">
        <v>743</v>
      </c>
      <c r="Y127" t="s">
        <v>418</v>
      </c>
      <c r="Z127">
        <f>IF(AND(H127="OUI", I127="OUI", J127="OUI"), "✅ COMPLET", "⚠️ À OPTIMISER")</f>
        <v>0</v>
      </c>
    </row>
    <row r="128" spans="1:26">
      <c r="A128">
        <v>127</v>
      </c>
      <c r="B128" t="s">
        <v>159</v>
      </c>
      <c r="C128" t="s">
        <v>342</v>
      </c>
      <c r="D128" t="s">
        <v>366</v>
      </c>
      <c r="E128" t="s">
        <v>403</v>
      </c>
      <c r="F128" t="s">
        <v>406</v>
      </c>
      <c r="G128">
        <f>IF(OR(E128&lt;5, H128="NON", I128="NON", J128="NON"), "HAUTE", "MOYENNE")</f>
        <v>0</v>
      </c>
      <c r="H128" t="s">
        <v>415</v>
      </c>
      <c r="I128" t="s">
        <v>415</v>
      </c>
      <c r="J128" t="s">
        <v>415</v>
      </c>
      <c r="L128" t="s">
        <v>18</v>
      </c>
      <c r="M128" t="s">
        <v>417</v>
      </c>
      <c r="N128" t="s">
        <v>417</v>
      </c>
      <c r="Q128" t="s">
        <v>416</v>
      </c>
      <c r="R128" t="s">
        <v>342</v>
      </c>
      <c r="U128" t="s">
        <v>490</v>
      </c>
      <c r="V128" t="s">
        <v>502</v>
      </c>
      <c r="W128" t="s">
        <v>608</v>
      </c>
      <c r="X128" t="s">
        <v>744</v>
      </c>
      <c r="Y128" t="s">
        <v>418</v>
      </c>
      <c r="Z128">
        <f>IF(AND(H128="OUI", I128="OUI", J128="OUI"), "✅ COMPLET", "⚠️ À OPTIMISER")</f>
        <v>0</v>
      </c>
    </row>
    <row r="129" spans="1:26">
      <c r="A129">
        <v>128</v>
      </c>
      <c r="B129" t="s">
        <v>160</v>
      </c>
      <c r="C129" t="s">
        <v>343</v>
      </c>
      <c r="D129" t="s">
        <v>366</v>
      </c>
      <c r="E129" t="s">
        <v>382</v>
      </c>
      <c r="F129" t="s">
        <v>408</v>
      </c>
      <c r="G129">
        <f>IF(OR(E129&lt;5, H129="NON", I129="NON", J129="NON"), "HAUTE", "MOYENNE")</f>
        <v>0</v>
      </c>
      <c r="H129" t="s">
        <v>415</v>
      </c>
      <c r="I129" t="s">
        <v>373</v>
      </c>
      <c r="J129" t="s">
        <v>373</v>
      </c>
      <c r="L129" t="s">
        <v>416</v>
      </c>
      <c r="M129" t="s">
        <v>417</v>
      </c>
      <c r="N129" t="s">
        <v>416</v>
      </c>
      <c r="Q129" t="s">
        <v>416</v>
      </c>
      <c r="R129" t="s">
        <v>343</v>
      </c>
      <c r="U129" t="s">
        <v>491</v>
      </c>
      <c r="V129" t="s">
        <v>502</v>
      </c>
      <c r="W129" t="s">
        <v>609</v>
      </c>
      <c r="X129" t="s">
        <v>745</v>
      </c>
      <c r="Y129" t="s">
        <v>418</v>
      </c>
      <c r="Z129">
        <f>IF(AND(H129="OUI", I129="OUI", J129="OUI"), "✅ COMPLET", "⚠️ À OPTIMISER")</f>
        <v>0</v>
      </c>
    </row>
    <row r="130" spans="1:26">
      <c r="A130">
        <v>129</v>
      </c>
      <c r="B130" t="s">
        <v>161</v>
      </c>
      <c r="C130" t="s">
        <v>297</v>
      </c>
      <c r="D130" t="s">
        <v>366</v>
      </c>
      <c r="E130" t="s">
        <v>391</v>
      </c>
      <c r="F130" t="s">
        <v>406</v>
      </c>
      <c r="G130">
        <f>IF(OR(E130&lt;5, H130="NON", I130="NON", J130="NON"), "HAUTE", "MOYENNE")</f>
        <v>0</v>
      </c>
      <c r="H130" t="s">
        <v>415</v>
      </c>
      <c r="I130" t="s">
        <v>415</v>
      </c>
      <c r="J130" t="s">
        <v>415</v>
      </c>
      <c r="L130" t="s">
        <v>416</v>
      </c>
      <c r="M130" t="s">
        <v>417</v>
      </c>
      <c r="N130" t="s">
        <v>417</v>
      </c>
      <c r="Q130" t="s">
        <v>416</v>
      </c>
      <c r="R130" t="s">
        <v>297</v>
      </c>
      <c r="U130" t="s">
        <v>429</v>
      </c>
      <c r="V130" t="s">
        <v>502</v>
      </c>
      <c r="W130" t="s">
        <v>610</v>
      </c>
      <c r="X130" t="s">
        <v>746</v>
      </c>
      <c r="Y130" t="s">
        <v>418</v>
      </c>
      <c r="Z130">
        <f>IF(AND(H130="OUI", I130="OUI", J130="OUI"), "✅ COMPLET", "⚠️ À OPTIMISER")</f>
        <v>0</v>
      </c>
    </row>
    <row r="131" spans="1:26">
      <c r="A131">
        <v>130</v>
      </c>
      <c r="B131" t="s">
        <v>162</v>
      </c>
      <c r="C131" t="s">
        <v>344</v>
      </c>
      <c r="D131" t="s">
        <v>366</v>
      </c>
      <c r="E131" t="s">
        <v>371</v>
      </c>
      <c r="F131" t="s">
        <v>407</v>
      </c>
      <c r="G131">
        <f>IF(OR(E131&lt;5, H131="NON", I131="NON", J131="NON"), "HAUTE", "MOYENNE")</f>
        <v>0</v>
      </c>
      <c r="H131" t="s">
        <v>415</v>
      </c>
      <c r="I131" t="s">
        <v>415</v>
      </c>
      <c r="J131" t="s">
        <v>373</v>
      </c>
      <c r="L131" t="s">
        <v>416</v>
      </c>
      <c r="M131" t="s">
        <v>417</v>
      </c>
      <c r="N131" t="s">
        <v>417</v>
      </c>
      <c r="Q131" t="s">
        <v>416</v>
      </c>
      <c r="R131" t="s">
        <v>344</v>
      </c>
      <c r="U131" t="s">
        <v>477</v>
      </c>
      <c r="V131" t="s">
        <v>502</v>
      </c>
      <c r="W131" t="s">
        <v>611</v>
      </c>
      <c r="X131" t="s">
        <v>747</v>
      </c>
      <c r="Y131" t="s">
        <v>418</v>
      </c>
      <c r="Z131">
        <f>IF(AND(H131="OUI", I131="OUI", J131="OUI"), "✅ COMPLET", "⚠️ À OPTIMISER")</f>
        <v>0</v>
      </c>
    </row>
    <row r="132" spans="1:26">
      <c r="A132">
        <v>131</v>
      </c>
      <c r="B132" t="s">
        <v>163</v>
      </c>
      <c r="C132" t="s">
        <v>345</v>
      </c>
      <c r="D132" t="s">
        <v>366</v>
      </c>
      <c r="E132" t="s">
        <v>373</v>
      </c>
      <c r="F132" t="s">
        <v>5</v>
      </c>
      <c r="G132">
        <f>IF(OR(E132&lt;5, H132="NON", I132="NON", J132="NON"), "HAUTE", "MOYENNE")</f>
        <v>0</v>
      </c>
      <c r="H132" t="s">
        <v>373</v>
      </c>
      <c r="I132" t="s">
        <v>415</v>
      </c>
      <c r="J132" t="s">
        <v>373</v>
      </c>
      <c r="L132" t="s">
        <v>416</v>
      </c>
      <c r="M132" t="s">
        <v>416</v>
      </c>
      <c r="N132" t="s">
        <v>417</v>
      </c>
      <c r="Q132" t="s">
        <v>416</v>
      </c>
      <c r="U132" t="s">
        <v>416</v>
      </c>
      <c r="V132" t="s">
        <v>502</v>
      </c>
      <c r="W132" t="s">
        <v>612</v>
      </c>
      <c r="X132" t="s">
        <v>418</v>
      </c>
      <c r="Y132" t="s">
        <v>418</v>
      </c>
      <c r="Z132">
        <f>IF(AND(H132="OUI", I132="OUI", J132="OUI"), "✅ COMPLET", "⚠️ À OPTIMISER")</f>
        <v>0</v>
      </c>
    </row>
    <row r="133" spans="1:26">
      <c r="A133">
        <v>132</v>
      </c>
      <c r="B133" t="s">
        <v>164</v>
      </c>
      <c r="C133" t="s">
        <v>346</v>
      </c>
      <c r="D133" t="s">
        <v>366</v>
      </c>
      <c r="E133" t="s">
        <v>382</v>
      </c>
      <c r="F133" t="s">
        <v>406</v>
      </c>
      <c r="G133">
        <f>IF(OR(E133&lt;5, H133="NON", I133="NON", J133="NON"), "HAUTE", "MOYENNE")</f>
        <v>0</v>
      </c>
      <c r="H133" t="s">
        <v>415</v>
      </c>
      <c r="I133" t="s">
        <v>415</v>
      </c>
      <c r="J133" t="s">
        <v>415</v>
      </c>
      <c r="L133" t="s">
        <v>416</v>
      </c>
      <c r="M133" t="s">
        <v>417</v>
      </c>
      <c r="N133" t="s">
        <v>417</v>
      </c>
      <c r="Q133" t="s">
        <v>416</v>
      </c>
      <c r="R133" t="s">
        <v>346</v>
      </c>
      <c r="U133" t="s">
        <v>492</v>
      </c>
      <c r="V133" t="s">
        <v>502</v>
      </c>
      <c r="W133" t="s">
        <v>613</v>
      </c>
      <c r="X133" t="s">
        <v>748</v>
      </c>
      <c r="Y133" t="s">
        <v>418</v>
      </c>
      <c r="Z133">
        <f>IF(AND(H133="OUI", I133="OUI", J133="OUI"), "✅ COMPLET", "⚠️ À OPTIMISER")</f>
        <v>0</v>
      </c>
    </row>
    <row r="134" spans="1:26">
      <c r="A134">
        <v>133</v>
      </c>
      <c r="B134" t="s">
        <v>165</v>
      </c>
      <c r="C134" t="s">
        <v>250</v>
      </c>
      <c r="D134" t="s">
        <v>366</v>
      </c>
      <c r="E134" t="s">
        <v>401</v>
      </c>
      <c r="F134" t="s">
        <v>408</v>
      </c>
      <c r="G134">
        <f>IF(OR(E134&lt;5, H134="NON", I134="NON", J134="NON"), "HAUTE", "MOYENNE")</f>
        <v>0</v>
      </c>
      <c r="H134" t="s">
        <v>415</v>
      </c>
      <c r="I134" t="s">
        <v>415</v>
      </c>
      <c r="J134" t="s">
        <v>415</v>
      </c>
      <c r="L134" t="s">
        <v>18</v>
      </c>
      <c r="M134" t="s">
        <v>417</v>
      </c>
      <c r="N134" t="s">
        <v>417</v>
      </c>
      <c r="Q134" t="s">
        <v>416</v>
      </c>
      <c r="R134" t="s">
        <v>250</v>
      </c>
      <c r="U134" t="s">
        <v>493</v>
      </c>
      <c r="V134" t="s">
        <v>502</v>
      </c>
      <c r="W134" t="s">
        <v>614</v>
      </c>
      <c r="X134" t="s">
        <v>655</v>
      </c>
      <c r="Y134" t="s">
        <v>418</v>
      </c>
      <c r="Z134">
        <f>IF(AND(H134="OUI", I134="OUI", J134="OUI"), "✅ COMPLET", "⚠️ À OPTIMISER")</f>
        <v>0</v>
      </c>
    </row>
    <row r="135" spans="1:26">
      <c r="A135">
        <v>134</v>
      </c>
      <c r="B135" t="s">
        <v>166</v>
      </c>
      <c r="C135" t="s">
        <v>347</v>
      </c>
      <c r="D135" t="s">
        <v>366</v>
      </c>
      <c r="E135" t="s">
        <v>376</v>
      </c>
      <c r="F135" t="s">
        <v>408</v>
      </c>
      <c r="G135">
        <f>IF(OR(E135&lt;5, H135="NON", I135="NON", J135="NON"), "HAUTE", "MOYENNE")</f>
        <v>0</v>
      </c>
      <c r="H135" t="s">
        <v>415</v>
      </c>
      <c r="I135" t="s">
        <v>415</v>
      </c>
      <c r="J135" t="s">
        <v>415</v>
      </c>
      <c r="L135" t="s">
        <v>416</v>
      </c>
      <c r="M135" t="s">
        <v>417</v>
      </c>
      <c r="N135" t="s">
        <v>417</v>
      </c>
      <c r="Q135" t="s">
        <v>416</v>
      </c>
      <c r="R135" t="s">
        <v>347</v>
      </c>
      <c r="U135" t="s">
        <v>494</v>
      </c>
      <c r="V135" t="s">
        <v>502</v>
      </c>
      <c r="W135" t="s">
        <v>615</v>
      </c>
      <c r="X135" t="s">
        <v>418</v>
      </c>
      <c r="Y135" t="s">
        <v>418</v>
      </c>
      <c r="Z135">
        <f>IF(AND(H135="OUI", I135="OUI", J135="OUI"), "✅ COMPLET", "⚠️ À OPTIMISER")</f>
        <v>0</v>
      </c>
    </row>
    <row r="136" spans="1:26">
      <c r="A136">
        <v>135</v>
      </c>
      <c r="B136" t="s">
        <v>167</v>
      </c>
      <c r="C136" t="s">
        <v>348</v>
      </c>
      <c r="D136" t="s">
        <v>366</v>
      </c>
      <c r="E136" t="s">
        <v>373</v>
      </c>
      <c r="F136" t="s">
        <v>408</v>
      </c>
      <c r="G136">
        <f>IF(OR(E136&lt;5, H136="NON", I136="NON", J136="NON"), "HAUTE", "MOYENNE")</f>
        <v>0</v>
      </c>
      <c r="H136" t="s">
        <v>373</v>
      </c>
      <c r="I136" t="s">
        <v>415</v>
      </c>
      <c r="J136" t="s">
        <v>373</v>
      </c>
      <c r="L136" t="s">
        <v>416</v>
      </c>
      <c r="M136" t="s">
        <v>416</v>
      </c>
      <c r="N136" t="s">
        <v>417</v>
      </c>
      <c r="Q136" t="s">
        <v>416</v>
      </c>
      <c r="U136" t="s">
        <v>416</v>
      </c>
      <c r="V136" t="s">
        <v>502</v>
      </c>
      <c r="W136" t="s">
        <v>616</v>
      </c>
      <c r="X136" t="s">
        <v>749</v>
      </c>
      <c r="Y136" t="s">
        <v>418</v>
      </c>
      <c r="Z136">
        <f>IF(AND(H136="OUI", I136="OUI", J136="OUI"), "✅ COMPLET", "⚠️ À OPTIMISER")</f>
        <v>0</v>
      </c>
    </row>
    <row r="137" spans="1:26">
      <c r="A137">
        <v>136</v>
      </c>
      <c r="B137" t="s">
        <v>168</v>
      </c>
      <c r="C137" t="s">
        <v>349</v>
      </c>
      <c r="D137" t="s">
        <v>366</v>
      </c>
      <c r="E137" t="s">
        <v>392</v>
      </c>
      <c r="F137" t="s">
        <v>411</v>
      </c>
      <c r="G137">
        <f>IF(OR(E137&lt;5, H137="NON", I137="NON", J137="NON"), "HAUTE", "MOYENNE")</f>
        <v>0</v>
      </c>
      <c r="H137" t="s">
        <v>415</v>
      </c>
      <c r="I137" t="s">
        <v>415</v>
      </c>
      <c r="J137" t="s">
        <v>373</v>
      </c>
      <c r="L137" t="s">
        <v>416</v>
      </c>
      <c r="M137" t="s">
        <v>417</v>
      </c>
      <c r="N137" t="s">
        <v>417</v>
      </c>
      <c r="Q137" t="s">
        <v>416</v>
      </c>
      <c r="R137" t="s">
        <v>349</v>
      </c>
      <c r="U137" t="s">
        <v>424</v>
      </c>
      <c r="V137" t="s">
        <v>502</v>
      </c>
      <c r="W137" t="s">
        <v>617</v>
      </c>
      <c r="X137" t="s">
        <v>750</v>
      </c>
      <c r="Y137" t="s">
        <v>418</v>
      </c>
      <c r="Z137">
        <f>IF(AND(H137="OUI", I137="OUI", J137="OUI"), "✅ COMPLET", "⚠️ À OPTIMISER")</f>
        <v>0</v>
      </c>
    </row>
    <row r="138" spans="1:26">
      <c r="A138">
        <v>137</v>
      </c>
      <c r="B138" t="s">
        <v>169</v>
      </c>
      <c r="C138" t="s">
        <v>350</v>
      </c>
      <c r="D138" t="s">
        <v>366</v>
      </c>
      <c r="E138" t="s">
        <v>373</v>
      </c>
      <c r="F138" t="s">
        <v>169</v>
      </c>
      <c r="G138">
        <f>IF(OR(E138&lt;5, H138="NON", I138="NON", J138="NON"), "HAUTE", "MOYENNE")</f>
        <v>0</v>
      </c>
      <c r="H138" t="s">
        <v>373</v>
      </c>
      <c r="I138" t="s">
        <v>415</v>
      </c>
      <c r="J138" t="s">
        <v>373</v>
      </c>
      <c r="L138" t="s">
        <v>416</v>
      </c>
      <c r="M138" t="s">
        <v>416</v>
      </c>
      <c r="N138" t="s">
        <v>417</v>
      </c>
      <c r="Q138" t="s">
        <v>416</v>
      </c>
      <c r="U138" t="s">
        <v>416</v>
      </c>
      <c r="V138" t="s">
        <v>502</v>
      </c>
      <c r="W138" t="s">
        <v>618</v>
      </c>
      <c r="X138" t="s">
        <v>751</v>
      </c>
      <c r="Y138" t="s">
        <v>418</v>
      </c>
      <c r="Z138">
        <f>IF(AND(H138="OUI", I138="OUI", J138="OUI"), "✅ COMPLET", "⚠️ À OPTIMISER")</f>
        <v>0</v>
      </c>
    </row>
    <row r="139" spans="1:26">
      <c r="A139">
        <v>138</v>
      </c>
      <c r="B139" t="s">
        <v>170</v>
      </c>
      <c r="C139" t="s">
        <v>351</v>
      </c>
      <c r="D139" t="s">
        <v>366</v>
      </c>
      <c r="E139" t="s">
        <v>373</v>
      </c>
      <c r="F139" t="s">
        <v>170</v>
      </c>
      <c r="G139">
        <f>IF(OR(E139&lt;5, H139="NON", I139="NON", J139="NON"), "HAUTE", "MOYENNE")</f>
        <v>0</v>
      </c>
      <c r="H139" t="s">
        <v>373</v>
      </c>
      <c r="I139" t="s">
        <v>415</v>
      </c>
      <c r="J139" t="s">
        <v>373</v>
      </c>
      <c r="L139" t="s">
        <v>416</v>
      </c>
      <c r="M139" t="s">
        <v>416</v>
      </c>
      <c r="N139" t="s">
        <v>417</v>
      </c>
      <c r="Q139" t="s">
        <v>416</v>
      </c>
      <c r="U139" t="s">
        <v>416</v>
      </c>
      <c r="V139" t="s">
        <v>502</v>
      </c>
      <c r="W139" t="s">
        <v>619</v>
      </c>
      <c r="X139" t="s">
        <v>683</v>
      </c>
      <c r="Y139" t="s">
        <v>418</v>
      </c>
      <c r="Z139">
        <f>IF(AND(H139="OUI", I139="OUI", J139="OUI"), "✅ COMPLET", "⚠️ À OPTIMISER")</f>
        <v>0</v>
      </c>
    </row>
    <row r="140" spans="1:26">
      <c r="A140">
        <v>139</v>
      </c>
      <c r="B140" t="s">
        <v>171</v>
      </c>
      <c r="C140" t="s">
        <v>245</v>
      </c>
      <c r="D140" t="s">
        <v>366</v>
      </c>
      <c r="E140" t="s">
        <v>373</v>
      </c>
      <c r="F140" t="s">
        <v>171</v>
      </c>
      <c r="G140">
        <f>IF(OR(E140&lt;5, H140="NON", I140="NON", J140="NON"), "HAUTE", "MOYENNE")</f>
        <v>0</v>
      </c>
      <c r="H140" t="s">
        <v>373</v>
      </c>
      <c r="I140" t="s">
        <v>415</v>
      </c>
      <c r="J140" t="s">
        <v>373</v>
      </c>
      <c r="L140" t="s">
        <v>416</v>
      </c>
      <c r="M140" t="s">
        <v>416</v>
      </c>
      <c r="N140" t="s">
        <v>417</v>
      </c>
      <c r="Q140" t="s">
        <v>416</v>
      </c>
      <c r="U140" t="s">
        <v>416</v>
      </c>
      <c r="V140" t="s">
        <v>502</v>
      </c>
      <c r="W140" t="s">
        <v>620</v>
      </c>
      <c r="X140" t="s">
        <v>752</v>
      </c>
      <c r="Y140" t="s">
        <v>418</v>
      </c>
      <c r="Z140">
        <f>IF(AND(H140="OUI", I140="OUI", J140="OUI"), "✅ COMPLET", "⚠️ À OPTIMISER")</f>
        <v>0</v>
      </c>
    </row>
    <row r="141" spans="1:26">
      <c r="A141">
        <v>140</v>
      </c>
      <c r="B141" t="s">
        <v>172</v>
      </c>
      <c r="C141" t="s">
        <v>352</v>
      </c>
      <c r="D141" t="s">
        <v>366</v>
      </c>
      <c r="E141" t="s">
        <v>373</v>
      </c>
      <c r="F141" t="s">
        <v>408</v>
      </c>
      <c r="G141">
        <f>IF(OR(E141&lt;5, H141="NON", I141="NON", J141="NON"), "HAUTE", "MOYENNE")</f>
        <v>0</v>
      </c>
      <c r="H141" t="s">
        <v>373</v>
      </c>
      <c r="I141" t="s">
        <v>415</v>
      </c>
      <c r="J141" t="s">
        <v>373</v>
      </c>
      <c r="L141" t="s">
        <v>416</v>
      </c>
      <c r="M141" t="s">
        <v>416</v>
      </c>
      <c r="N141" t="s">
        <v>417</v>
      </c>
      <c r="Q141" t="s">
        <v>416</v>
      </c>
      <c r="U141" t="s">
        <v>416</v>
      </c>
      <c r="V141" t="s">
        <v>502</v>
      </c>
      <c r="W141" t="s">
        <v>621</v>
      </c>
      <c r="X141" t="s">
        <v>753</v>
      </c>
      <c r="Y141" t="s">
        <v>418</v>
      </c>
      <c r="Z141">
        <f>IF(AND(H141="OUI", I141="OUI", J141="OUI"), "✅ COMPLET", "⚠️ À OPTIMISER")</f>
        <v>0</v>
      </c>
    </row>
    <row r="142" spans="1:26">
      <c r="A142">
        <v>141</v>
      </c>
      <c r="B142" t="s">
        <v>173</v>
      </c>
      <c r="C142" t="s">
        <v>353</v>
      </c>
      <c r="D142" t="s">
        <v>369</v>
      </c>
      <c r="E142" t="s">
        <v>373</v>
      </c>
      <c r="F142" t="s">
        <v>408</v>
      </c>
      <c r="G142">
        <f>IF(OR(E142&lt;5, H142="NON", I142="NON", J142="NON"), "HAUTE", "MOYENNE")</f>
        <v>0</v>
      </c>
      <c r="H142" t="s">
        <v>373</v>
      </c>
      <c r="I142" t="s">
        <v>415</v>
      </c>
      <c r="J142" t="s">
        <v>415</v>
      </c>
      <c r="L142" t="s">
        <v>18</v>
      </c>
      <c r="M142" t="s">
        <v>416</v>
      </c>
      <c r="N142" t="s">
        <v>417</v>
      </c>
      <c r="Q142" t="s">
        <v>416</v>
      </c>
      <c r="U142" t="s">
        <v>416</v>
      </c>
      <c r="V142" t="s">
        <v>502</v>
      </c>
      <c r="W142" t="s">
        <v>622</v>
      </c>
      <c r="X142" t="s">
        <v>754</v>
      </c>
      <c r="Y142" t="s">
        <v>418</v>
      </c>
      <c r="Z142">
        <f>IF(AND(H142="OUI", I142="OUI", J142="OUI"), "✅ COMPLET", "⚠️ À OPTIMISER")</f>
        <v>0</v>
      </c>
    </row>
    <row r="143" spans="1:26">
      <c r="A143">
        <v>142</v>
      </c>
      <c r="B143" t="s">
        <v>174</v>
      </c>
      <c r="C143" t="s">
        <v>354</v>
      </c>
      <c r="D143" t="s">
        <v>366</v>
      </c>
      <c r="E143" t="s">
        <v>399</v>
      </c>
      <c r="F143" t="s">
        <v>406</v>
      </c>
      <c r="G143">
        <f>IF(OR(E143&lt;5, H143="NON", I143="NON", J143="NON"), "HAUTE", "MOYENNE")</f>
        <v>0</v>
      </c>
      <c r="H143" t="s">
        <v>415</v>
      </c>
      <c r="I143" t="s">
        <v>415</v>
      </c>
      <c r="J143" t="s">
        <v>415</v>
      </c>
      <c r="L143" t="s">
        <v>416</v>
      </c>
      <c r="M143" t="s">
        <v>417</v>
      </c>
      <c r="N143" t="s">
        <v>417</v>
      </c>
      <c r="Q143" t="s">
        <v>416</v>
      </c>
      <c r="R143" t="s">
        <v>354</v>
      </c>
      <c r="U143" t="s">
        <v>453</v>
      </c>
      <c r="V143" t="s">
        <v>502</v>
      </c>
      <c r="W143" t="s">
        <v>623</v>
      </c>
      <c r="X143" t="s">
        <v>755</v>
      </c>
      <c r="Y143" t="s">
        <v>418</v>
      </c>
      <c r="Z143">
        <f>IF(AND(H143="OUI", I143="OUI", J143="OUI"), "✅ COMPLET", "⚠️ À OPTIMISER")</f>
        <v>0</v>
      </c>
    </row>
    <row r="144" spans="1:26">
      <c r="A144">
        <v>143</v>
      </c>
      <c r="B144" t="s">
        <v>175</v>
      </c>
      <c r="C144" t="s">
        <v>355</v>
      </c>
      <c r="D144" t="s">
        <v>366</v>
      </c>
      <c r="E144" t="s">
        <v>393</v>
      </c>
      <c r="F144" t="s">
        <v>408</v>
      </c>
      <c r="G144">
        <f>IF(OR(E144&lt;5, H144="NON", I144="NON", J144="NON"), "HAUTE", "MOYENNE")</f>
        <v>0</v>
      </c>
      <c r="H144" t="s">
        <v>415</v>
      </c>
      <c r="I144" t="s">
        <v>415</v>
      </c>
      <c r="J144" t="s">
        <v>415</v>
      </c>
      <c r="L144" t="s">
        <v>416</v>
      </c>
      <c r="M144" t="s">
        <v>417</v>
      </c>
      <c r="N144" t="s">
        <v>417</v>
      </c>
      <c r="Q144" t="s">
        <v>416</v>
      </c>
      <c r="R144" t="s">
        <v>355</v>
      </c>
      <c r="U144" t="s">
        <v>466</v>
      </c>
      <c r="V144" t="s">
        <v>502</v>
      </c>
      <c r="W144" t="s">
        <v>624</v>
      </c>
      <c r="X144" t="s">
        <v>756</v>
      </c>
      <c r="Y144" t="s">
        <v>418</v>
      </c>
      <c r="Z144">
        <f>IF(AND(H144="OUI", I144="OUI", J144="OUI"), "✅ COMPLET", "⚠️ À OPTIMISER")</f>
        <v>0</v>
      </c>
    </row>
    <row r="145" spans="1:26">
      <c r="A145">
        <v>144</v>
      </c>
      <c r="B145" t="s">
        <v>176</v>
      </c>
      <c r="C145" t="s">
        <v>356</v>
      </c>
      <c r="D145" t="s">
        <v>366</v>
      </c>
      <c r="E145" t="s">
        <v>388</v>
      </c>
      <c r="F145" t="s">
        <v>408</v>
      </c>
      <c r="G145">
        <f>IF(OR(E145&lt;5, H145="NON", I145="NON", J145="NON"), "HAUTE", "MOYENNE")</f>
        <v>0</v>
      </c>
      <c r="H145" t="s">
        <v>415</v>
      </c>
      <c r="I145" t="s">
        <v>373</v>
      </c>
      <c r="J145" t="s">
        <v>415</v>
      </c>
      <c r="L145" t="s">
        <v>416</v>
      </c>
      <c r="M145" t="s">
        <v>417</v>
      </c>
      <c r="N145" t="s">
        <v>416</v>
      </c>
      <c r="Q145" t="s">
        <v>416</v>
      </c>
      <c r="R145" t="s">
        <v>356</v>
      </c>
      <c r="U145" t="s">
        <v>495</v>
      </c>
      <c r="V145" t="s">
        <v>502</v>
      </c>
      <c r="W145" t="s">
        <v>625</v>
      </c>
      <c r="X145" t="s">
        <v>683</v>
      </c>
      <c r="Y145" t="s">
        <v>418</v>
      </c>
      <c r="Z145">
        <f>IF(AND(H145="OUI", I145="OUI", J145="OUI"), "✅ COMPLET", "⚠️ À OPTIMISER")</f>
        <v>0</v>
      </c>
    </row>
    <row r="146" spans="1:26">
      <c r="A146">
        <v>145</v>
      </c>
      <c r="B146" t="s">
        <v>177</v>
      </c>
      <c r="C146" t="s">
        <v>356</v>
      </c>
      <c r="D146" t="s">
        <v>366</v>
      </c>
      <c r="E146" t="s">
        <v>373</v>
      </c>
      <c r="F146" t="s">
        <v>406</v>
      </c>
      <c r="G146">
        <f>IF(OR(E146&lt;5, H146="NON", I146="NON", J146="NON"), "HAUTE", "MOYENNE")</f>
        <v>0</v>
      </c>
      <c r="H146" t="s">
        <v>373</v>
      </c>
      <c r="I146" t="s">
        <v>415</v>
      </c>
      <c r="J146" t="s">
        <v>373</v>
      </c>
      <c r="L146" t="s">
        <v>416</v>
      </c>
      <c r="M146" t="s">
        <v>416</v>
      </c>
      <c r="N146" t="s">
        <v>417</v>
      </c>
      <c r="Q146" t="s">
        <v>416</v>
      </c>
      <c r="U146" t="s">
        <v>416</v>
      </c>
      <c r="V146" t="s">
        <v>502</v>
      </c>
      <c r="W146" t="s">
        <v>626</v>
      </c>
      <c r="X146" t="s">
        <v>653</v>
      </c>
      <c r="Y146" t="s">
        <v>772</v>
      </c>
      <c r="Z146">
        <f>IF(AND(H146="OUI", I146="OUI", J146="OUI"), "✅ COMPLET", "⚠️ À OPTIMISER")</f>
        <v>0</v>
      </c>
    </row>
    <row r="147" spans="1:26">
      <c r="A147">
        <v>146</v>
      </c>
      <c r="B147" t="s">
        <v>178</v>
      </c>
      <c r="C147" t="s">
        <v>238</v>
      </c>
      <c r="D147" t="s">
        <v>366</v>
      </c>
      <c r="E147" t="s">
        <v>383</v>
      </c>
      <c r="F147" t="s">
        <v>407</v>
      </c>
      <c r="G147">
        <f>IF(OR(E147&lt;5, H147="NON", I147="NON", J147="NON"), "HAUTE", "MOYENNE")</f>
        <v>0</v>
      </c>
      <c r="H147" t="s">
        <v>415</v>
      </c>
      <c r="I147" t="s">
        <v>373</v>
      </c>
      <c r="J147" t="s">
        <v>373</v>
      </c>
      <c r="L147" t="s">
        <v>416</v>
      </c>
      <c r="M147" t="s">
        <v>417</v>
      </c>
      <c r="N147" t="s">
        <v>416</v>
      </c>
      <c r="Q147" t="s">
        <v>416</v>
      </c>
      <c r="R147" t="s">
        <v>238</v>
      </c>
      <c r="U147" t="s">
        <v>496</v>
      </c>
      <c r="V147" t="s">
        <v>502</v>
      </c>
      <c r="W147" t="s">
        <v>627</v>
      </c>
      <c r="X147" t="s">
        <v>757</v>
      </c>
      <c r="Y147" t="s">
        <v>418</v>
      </c>
      <c r="Z147">
        <f>IF(AND(H147="OUI", I147="OUI", J147="OUI"), "✅ COMPLET", "⚠️ À OPTIMISER")</f>
        <v>0</v>
      </c>
    </row>
    <row r="148" spans="1:26">
      <c r="A148">
        <v>147</v>
      </c>
      <c r="B148" t="s">
        <v>179</v>
      </c>
      <c r="C148" t="s">
        <v>357</v>
      </c>
      <c r="D148" t="s">
        <v>366</v>
      </c>
      <c r="E148" t="s">
        <v>388</v>
      </c>
      <c r="F148" t="s">
        <v>412</v>
      </c>
      <c r="G148">
        <f>IF(OR(E148&lt;5, H148="NON", I148="NON", J148="NON"), "HAUTE", "MOYENNE")</f>
        <v>0</v>
      </c>
      <c r="H148" t="s">
        <v>415</v>
      </c>
      <c r="I148" t="s">
        <v>415</v>
      </c>
      <c r="J148" t="s">
        <v>415</v>
      </c>
      <c r="L148" t="s">
        <v>416</v>
      </c>
      <c r="M148" t="s">
        <v>417</v>
      </c>
      <c r="N148" t="s">
        <v>417</v>
      </c>
      <c r="Q148" t="s">
        <v>416</v>
      </c>
      <c r="R148" t="s">
        <v>357</v>
      </c>
      <c r="U148" t="s">
        <v>497</v>
      </c>
      <c r="V148" t="s">
        <v>502</v>
      </c>
      <c r="W148" t="s">
        <v>628</v>
      </c>
      <c r="X148" t="s">
        <v>758</v>
      </c>
      <c r="Y148" t="s">
        <v>418</v>
      </c>
      <c r="Z148">
        <f>IF(AND(H148="OUI", I148="OUI", J148="OUI"), "✅ COMPLET", "⚠️ À OPTIMISER")</f>
        <v>0</v>
      </c>
    </row>
    <row r="149" spans="1:26">
      <c r="A149">
        <v>148</v>
      </c>
      <c r="B149" t="s">
        <v>180</v>
      </c>
      <c r="C149" t="s">
        <v>358</v>
      </c>
      <c r="D149" t="s">
        <v>367</v>
      </c>
      <c r="E149" t="s">
        <v>374</v>
      </c>
      <c r="F149" t="s">
        <v>409</v>
      </c>
      <c r="G149">
        <f>IF(OR(E149&lt;5, H149="NON", I149="NON", J149="NON"), "HAUTE", "MOYENNE")</f>
        <v>0</v>
      </c>
      <c r="H149" t="s">
        <v>415</v>
      </c>
      <c r="I149" t="s">
        <v>415</v>
      </c>
      <c r="J149" t="s">
        <v>415</v>
      </c>
      <c r="L149" t="s">
        <v>416</v>
      </c>
      <c r="M149" t="s">
        <v>417</v>
      </c>
      <c r="N149" t="s">
        <v>417</v>
      </c>
      <c r="Q149" t="s">
        <v>416</v>
      </c>
      <c r="R149" t="s">
        <v>358</v>
      </c>
      <c r="U149" t="s">
        <v>465</v>
      </c>
      <c r="V149" t="s">
        <v>502</v>
      </c>
      <c r="W149" t="s">
        <v>629</v>
      </c>
      <c r="X149" t="s">
        <v>759</v>
      </c>
      <c r="Y149" t="s">
        <v>418</v>
      </c>
      <c r="Z149">
        <f>IF(AND(H149="OUI", I149="OUI", J149="OUI"), "✅ COMPLET", "⚠️ À OPTIMISER")</f>
        <v>0</v>
      </c>
    </row>
    <row r="150" spans="1:26">
      <c r="A150">
        <v>149</v>
      </c>
      <c r="B150" t="s">
        <v>181</v>
      </c>
      <c r="C150" t="s">
        <v>359</v>
      </c>
      <c r="D150" t="s">
        <v>367</v>
      </c>
      <c r="E150" t="s">
        <v>392</v>
      </c>
      <c r="F150" t="s">
        <v>409</v>
      </c>
      <c r="G150">
        <f>IF(OR(E150&lt;5, H150="NON", I150="NON", J150="NON"), "HAUTE", "MOYENNE")</f>
        <v>0</v>
      </c>
      <c r="H150" t="s">
        <v>415</v>
      </c>
      <c r="I150" t="s">
        <v>415</v>
      </c>
      <c r="J150" t="s">
        <v>415</v>
      </c>
      <c r="L150" t="s">
        <v>18</v>
      </c>
      <c r="M150" t="s">
        <v>417</v>
      </c>
      <c r="N150" t="s">
        <v>417</v>
      </c>
      <c r="Q150" t="s">
        <v>416</v>
      </c>
      <c r="R150" t="s">
        <v>359</v>
      </c>
      <c r="U150" t="s">
        <v>465</v>
      </c>
      <c r="V150" t="s">
        <v>502</v>
      </c>
      <c r="W150" t="s">
        <v>630</v>
      </c>
      <c r="X150" t="s">
        <v>760</v>
      </c>
      <c r="Y150" t="s">
        <v>418</v>
      </c>
      <c r="Z150">
        <f>IF(AND(H150="OUI", I150="OUI", J150="OUI"), "✅ COMPLET", "⚠️ À OPTIMISER")</f>
        <v>0</v>
      </c>
    </row>
    <row r="151" spans="1:26">
      <c r="A151">
        <v>150</v>
      </c>
      <c r="B151" t="s">
        <v>182</v>
      </c>
      <c r="C151" t="s">
        <v>245</v>
      </c>
      <c r="D151" t="s">
        <v>366</v>
      </c>
      <c r="E151" t="s">
        <v>373</v>
      </c>
      <c r="F151" t="s">
        <v>411</v>
      </c>
      <c r="G151">
        <f>IF(OR(E151&lt;5, H151="NON", I151="NON", J151="NON"), "HAUTE", "MOYENNE")</f>
        <v>0</v>
      </c>
      <c r="H151" t="s">
        <v>373</v>
      </c>
      <c r="I151" t="s">
        <v>415</v>
      </c>
      <c r="J151" t="s">
        <v>373</v>
      </c>
      <c r="L151" t="s">
        <v>416</v>
      </c>
      <c r="M151" t="s">
        <v>416</v>
      </c>
      <c r="N151" t="s">
        <v>417</v>
      </c>
      <c r="Q151" t="s">
        <v>416</v>
      </c>
      <c r="U151" t="s">
        <v>416</v>
      </c>
      <c r="V151" t="s">
        <v>502</v>
      </c>
      <c r="W151" t="s">
        <v>631</v>
      </c>
      <c r="X151" t="s">
        <v>761</v>
      </c>
      <c r="Y151" t="s">
        <v>418</v>
      </c>
      <c r="Z151">
        <f>IF(AND(H151="OUI", I151="OUI", J151="OUI"), "✅ COMPLET", "⚠️ À OPTIMISER")</f>
        <v>0</v>
      </c>
    </row>
    <row r="152" spans="1:26">
      <c r="A152">
        <v>151</v>
      </c>
      <c r="B152" t="s">
        <v>183</v>
      </c>
      <c r="C152" t="s">
        <v>360</v>
      </c>
      <c r="D152" t="s">
        <v>366</v>
      </c>
      <c r="E152" t="s">
        <v>371</v>
      </c>
      <c r="F152" t="s">
        <v>406</v>
      </c>
      <c r="G152">
        <f>IF(OR(E152&lt;5, H152="NON", I152="NON", J152="NON"), "HAUTE", "MOYENNE")</f>
        <v>0</v>
      </c>
      <c r="H152" t="s">
        <v>415</v>
      </c>
      <c r="I152" t="s">
        <v>415</v>
      </c>
      <c r="J152" t="s">
        <v>373</v>
      </c>
      <c r="L152" t="s">
        <v>416</v>
      </c>
      <c r="M152" t="s">
        <v>417</v>
      </c>
      <c r="N152" t="s">
        <v>417</v>
      </c>
      <c r="Q152" t="s">
        <v>416</v>
      </c>
      <c r="R152" t="s">
        <v>238</v>
      </c>
      <c r="U152" t="s">
        <v>441</v>
      </c>
      <c r="V152" t="s">
        <v>502</v>
      </c>
      <c r="W152" t="s">
        <v>632</v>
      </c>
      <c r="X152" t="s">
        <v>762</v>
      </c>
      <c r="Y152" t="s">
        <v>418</v>
      </c>
      <c r="Z152">
        <f>IF(AND(H152="OUI", I152="OUI", J152="OUI"), "✅ COMPLET", "⚠️ À OPTIMISER")</f>
        <v>0</v>
      </c>
    </row>
    <row r="153" spans="1:26">
      <c r="A153">
        <v>152</v>
      </c>
      <c r="B153" t="s">
        <v>184</v>
      </c>
      <c r="C153" t="s">
        <v>361</v>
      </c>
      <c r="D153" t="s">
        <v>366</v>
      </c>
      <c r="E153" t="s">
        <v>385</v>
      </c>
      <c r="F153" t="s">
        <v>406</v>
      </c>
      <c r="G153">
        <f>IF(OR(E153&lt;5, H153="NON", I153="NON", J153="NON"), "HAUTE", "MOYENNE")</f>
        <v>0</v>
      </c>
      <c r="H153" t="s">
        <v>415</v>
      </c>
      <c r="I153" t="s">
        <v>415</v>
      </c>
      <c r="J153" t="s">
        <v>415</v>
      </c>
      <c r="L153" t="s">
        <v>416</v>
      </c>
      <c r="M153" t="s">
        <v>417</v>
      </c>
      <c r="N153" t="s">
        <v>417</v>
      </c>
      <c r="Q153" t="s">
        <v>416</v>
      </c>
      <c r="R153" t="s">
        <v>361</v>
      </c>
      <c r="U153" t="s">
        <v>490</v>
      </c>
      <c r="V153" t="s">
        <v>502</v>
      </c>
      <c r="W153" t="s">
        <v>633</v>
      </c>
      <c r="X153" t="s">
        <v>763</v>
      </c>
      <c r="Y153" t="s">
        <v>418</v>
      </c>
      <c r="Z153">
        <f>IF(AND(H153="OUI", I153="OUI", J153="OUI"), "✅ COMPLET", "⚠️ À OPTIMISER")</f>
        <v>0</v>
      </c>
    </row>
    <row r="154" spans="1:26">
      <c r="A154">
        <v>153</v>
      </c>
      <c r="B154" t="s">
        <v>185</v>
      </c>
      <c r="C154" t="s">
        <v>362</v>
      </c>
      <c r="D154" t="s">
        <v>366</v>
      </c>
      <c r="E154" t="s">
        <v>399</v>
      </c>
      <c r="F154" t="s">
        <v>408</v>
      </c>
      <c r="G154">
        <f>IF(OR(E154&lt;5, H154="NON", I154="NON", J154="NON"), "HAUTE", "MOYENNE")</f>
        <v>0</v>
      </c>
      <c r="H154" t="s">
        <v>415</v>
      </c>
      <c r="I154" t="s">
        <v>415</v>
      </c>
      <c r="J154" t="s">
        <v>373</v>
      </c>
      <c r="L154" t="s">
        <v>416</v>
      </c>
      <c r="M154" t="s">
        <v>417</v>
      </c>
      <c r="N154" t="s">
        <v>417</v>
      </c>
      <c r="Q154" t="s">
        <v>416</v>
      </c>
      <c r="R154" t="s">
        <v>362</v>
      </c>
      <c r="U154" t="s">
        <v>498</v>
      </c>
      <c r="V154" t="s">
        <v>502</v>
      </c>
      <c r="W154" t="s">
        <v>634</v>
      </c>
      <c r="X154" t="s">
        <v>764</v>
      </c>
      <c r="Y154" t="s">
        <v>418</v>
      </c>
      <c r="Z154">
        <f>IF(AND(H154="OUI", I154="OUI", J154="OUI"), "✅ COMPLET", "⚠️ À OPTIMISER")</f>
        <v>0</v>
      </c>
    </row>
    <row r="155" spans="1:26">
      <c r="A155">
        <v>154</v>
      </c>
      <c r="B155" t="s">
        <v>186</v>
      </c>
      <c r="C155" t="s">
        <v>238</v>
      </c>
      <c r="D155" t="s">
        <v>366</v>
      </c>
      <c r="E155" t="s">
        <v>389</v>
      </c>
      <c r="F155" t="s">
        <v>406</v>
      </c>
      <c r="G155">
        <f>IF(OR(E155&lt;5, H155="NON", I155="NON", J155="NON"), "HAUTE", "MOYENNE")</f>
        <v>0</v>
      </c>
      <c r="H155" t="s">
        <v>415</v>
      </c>
      <c r="I155" t="s">
        <v>415</v>
      </c>
      <c r="J155" t="s">
        <v>415</v>
      </c>
      <c r="L155" t="s">
        <v>18</v>
      </c>
      <c r="M155" t="s">
        <v>417</v>
      </c>
      <c r="N155" t="s">
        <v>417</v>
      </c>
      <c r="Q155" t="s">
        <v>416</v>
      </c>
      <c r="R155" t="s">
        <v>238</v>
      </c>
      <c r="U155" t="s">
        <v>452</v>
      </c>
      <c r="V155" t="s">
        <v>502</v>
      </c>
      <c r="W155" t="s">
        <v>635</v>
      </c>
      <c r="X155" t="s">
        <v>765</v>
      </c>
      <c r="Y155" t="s">
        <v>418</v>
      </c>
      <c r="Z155">
        <f>IF(AND(H155="OUI", I155="OUI", J155="OUI"), "✅ COMPLET", "⚠️ À OPTIMISER")</f>
        <v>0</v>
      </c>
    </row>
    <row r="156" spans="1:26">
      <c r="A156">
        <v>155</v>
      </c>
      <c r="B156" t="s">
        <v>187</v>
      </c>
      <c r="C156" t="s">
        <v>245</v>
      </c>
      <c r="D156" t="s">
        <v>366</v>
      </c>
      <c r="E156" t="s">
        <v>382</v>
      </c>
      <c r="F156" t="s">
        <v>406</v>
      </c>
      <c r="G156">
        <f>IF(OR(E156&lt;5, H156="NON", I156="NON", J156="NON"), "HAUTE", "MOYENNE")</f>
        <v>0</v>
      </c>
      <c r="H156" t="s">
        <v>415</v>
      </c>
      <c r="I156" t="s">
        <v>415</v>
      </c>
      <c r="J156" t="s">
        <v>415</v>
      </c>
      <c r="L156" t="s">
        <v>416</v>
      </c>
      <c r="M156" t="s">
        <v>417</v>
      </c>
      <c r="N156" t="s">
        <v>417</v>
      </c>
      <c r="Q156" t="s">
        <v>416</v>
      </c>
      <c r="R156" t="s">
        <v>245</v>
      </c>
      <c r="U156" t="s">
        <v>499</v>
      </c>
      <c r="V156" t="s">
        <v>502</v>
      </c>
      <c r="W156" t="s">
        <v>636</v>
      </c>
      <c r="X156" t="s">
        <v>766</v>
      </c>
      <c r="Y156" t="s">
        <v>418</v>
      </c>
      <c r="Z156">
        <f>IF(AND(H156="OUI", I156="OUI", J156="OUI"), "✅ COMPLET", "⚠️ À OPTIMISER")</f>
        <v>0</v>
      </c>
    </row>
    <row r="157" spans="1:26">
      <c r="A157">
        <v>156</v>
      </c>
      <c r="B157" t="s">
        <v>188</v>
      </c>
      <c r="C157" t="s">
        <v>363</v>
      </c>
      <c r="D157" t="s">
        <v>366</v>
      </c>
      <c r="E157" t="s">
        <v>378</v>
      </c>
      <c r="F157" t="s">
        <v>408</v>
      </c>
      <c r="G157">
        <f>IF(OR(E157&lt;5, H157="NON", I157="NON", J157="NON"), "HAUTE", "MOYENNE")</f>
        <v>0</v>
      </c>
      <c r="H157" t="s">
        <v>415</v>
      </c>
      <c r="I157" t="s">
        <v>415</v>
      </c>
      <c r="J157" t="s">
        <v>373</v>
      </c>
      <c r="L157" t="s">
        <v>416</v>
      </c>
      <c r="M157" t="s">
        <v>417</v>
      </c>
      <c r="N157" t="s">
        <v>417</v>
      </c>
      <c r="Q157" t="s">
        <v>416</v>
      </c>
      <c r="R157" t="s">
        <v>363</v>
      </c>
      <c r="U157" t="s">
        <v>500</v>
      </c>
      <c r="V157" t="s">
        <v>502</v>
      </c>
      <c r="W157" t="s">
        <v>637</v>
      </c>
      <c r="X157" t="s">
        <v>767</v>
      </c>
      <c r="Y157" t="s">
        <v>418</v>
      </c>
      <c r="Z157">
        <f>IF(AND(H157="OUI", I157="OUI", J157="OUI"), "✅ COMPLET", "⚠️ À OPTIMISER")</f>
        <v>0</v>
      </c>
    </row>
    <row r="158" spans="1:26">
      <c r="A158">
        <v>157</v>
      </c>
      <c r="B158" t="s">
        <v>189</v>
      </c>
      <c r="C158" t="s">
        <v>364</v>
      </c>
      <c r="D158" t="s">
        <v>366</v>
      </c>
      <c r="E158" t="s">
        <v>377</v>
      </c>
      <c r="F158" t="s">
        <v>409</v>
      </c>
      <c r="G158">
        <f>IF(OR(E158&lt;5, H158="NON", I158="NON", J158="NON"), "HAUTE", "MOYENNE")</f>
        <v>0</v>
      </c>
      <c r="H158" t="s">
        <v>415</v>
      </c>
      <c r="I158" t="s">
        <v>415</v>
      </c>
      <c r="J158" t="s">
        <v>415</v>
      </c>
      <c r="L158" t="s">
        <v>416</v>
      </c>
      <c r="M158" t="s">
        <v>417</v>
      </c>
      <c r="N158" t="s">
        <v>417</v>
      </c>
      <c r="Q158" t="s">
        <v>416</v>
      </c>
      <c r="R158" t="s">
        <v>364</v>
      </c>
      <c r="U158" t="s">
        <v>500</v>
      </c>
      <c r="V158" t="s">
        <v>502</v>
      </c>
      <c r="W158" t="s">
        <v>638</v>
      </c>
      <c r="X158" t="s">
        <v>768</v>
      </c>
      <c r="Y158" t="s">
        <v>418</v>
      </c>
      <c r="Z158">
        <f>IF(AND(H158="OUI", I158="OUI", J158="OUI"), "✅ COMPLET", "⚠️ À OPTIMISER")</f>
        <v>0</v>
      </c>
    </row>
    <row r="159" spans="1:26">
      <c r="A159">
        <v>158</v>
      </c>
      <c r="B159" t="s">
        <v>190</v>
      </c>
      <c r="C159" t="s">
        <v>363</v>
      </c>
      <c r="D159" t="s">
        <v>366</v>
      </c>
      <c r="E159" t="s">
        <v>399</v>
      </c>
      <c r="F159" t="s">
        <v>413</v>
      </c>
      <c r="G159">
        <f>IF(OR(E159&lt;5, H159="NON", I159="NON", J159="NON"), "HAUTE", "MOYENNE")</f>
        <v>0</v>
      </c>
      <c r="H159" t="s">
        <v>415</v>
      </c>
      <c r="I159" t="s">
        <v>415</v>
      </c>
      <c r="J159" t="s">
        <v>415</v>
      </c>
      <c r="L159" t="s">
        <v>416</v>
      </c>
      <c r="M159" t="s">
        <v>417</v>
      </c>
      <c r="N159" t="s">
        <v>417</v>
      </c>
      <c r="Q159" t="s">
        <v>416</v>
      </c>
      <c r="R159" t="s">
        <v>363</v>
      </c>
      <c r="U159" t="s">
        <v>455</v>
      </c>
      <c r="V159" t="s">
        <v>502</v>
      </c>
      <c r="W159" t="s">
        <v>639</v>
      </c>
      <c r="X159" t="s">
        <v>769</v>
      </c>
      <c r="Y159" t="s">
        <v>418</v>
      </c>
      <c r="Z159">
        <f>IF(AND(H159="OUI", I159="OUI", J159="OUI"), "✅ COMPLET", "⚠️ À OPTIMISER")</f>
        <v>0</v>
      </c>
    </row>
    <row r="160" spans="1:26">
      <c r="A160">
        <v>159</v>
      </c>
      <c r="B160" t="s">
        <v>191</v>
      </c>
      <c r="C160" t="s">
        <v>365</v>
      </c>
      <c r="D160" t="s">
        <v>366</v>
      </c>
      <c r="E160" t="s">
        <v>404</v>
      </c>
      <c r="F160" t="s">
        <v>409</v>
      </c>
      <c r="G160">
        <f>IF(OR(E160&lt;5, H160="NON", I160="NON", J160="NON"), "HAUTE", "MOYENNE")</f>
        <v>0</v>
      </c>
      <c r="H160" t="s">
        <v>415</v>
      </c>
      <c r="I160" t="s">
        <v>415</v>
      </c>
      <c r="J160" t="s">
        <v>415</v>
      </c>
      <c r="L160" t="s">
        <v>18</v>
      </c>
      <c r="M160" t="s">
        <v>417</v>
      </c>
      <c r="N160" t="s">
        <v>417</v>
      </c>
      <c r="Q160" t="s">
        <v>416</v>
      </c>
      <c r="R160" t="s">
        <v>365</v>
      </c>
      <c r="U160" t="s">
        <v>501</v>
      </c>
      <c r="V160" t="s">
        <v>502</v>
      </c>
      <c r="W160" t="s">
        <v>640</v>
      </c>
      <c r="X160" t="s">
        <v>770</v>
      </c>
      <c r="Y160" t="s">
        <v>418</v>
      </c>
      <c r="Z160">
        <f>IF(AND(H160="OUI", I160="OUI", J160="OUI"), "✅ COMPLET", "⚠️ À OPTIMISER")</f>
        <v>0</v>
      </c>
    </row>
    <row r="161" spans="1:26">
      <c r="A161">
        <v>160</v>
      </c>
      <c r="B161" t="s">
        <v>192</v>
      </c>
      <c r="C161" t="s">
        <v>343</v>
      </c>
      <c r="D161" t="s">
        <v>366</v>
      </c>
      <c r="E161" t="s">
        <v>381</v>
      </c>
      <c r="F161" t="s">
        <v>408</v>
      </c>
      <c r="G161">
        <f>IF(OR(E161&lt;5, H161="NON", I161="NON", J161="NON"), "HAUTE", "MOYENNE")</f>
        <v>0</v>
      </c>
      <c r="H161" t="s">
        <v>415</v>
      </c>
      <c r="I161" t="s">
        <v>415</v>
      </c>
      <c r="J161" t="s">
        <v>415</v>
      </c>
      <c r="L161" t="s">
        <v>416</v>
      </c>
      <c r="M161" t="s">
        <v>417</v>
      </c>
      <c r="N161" t="s">
        <v>417</v>
      </c>
      <c r="Q161" t="s">
        <v>416</v>
      </c>
      <c r="R161" t="s">
        <v>343</v>
      </c>
      <c r="U161" t="s">
        <v>448</v>
      </c>
      <c r="V161" t="s">
        <v>502</v>
      </c>
      <c r="W161" t="s">
        <v>641</v>
      </c>
      <c r="X161" t="s">
        <v>745</v>
      </c>
      <c r="Y161" t="s">
        <v>418</v>
      </c>
      <c r="Z161">
        <f>IF(AND(H161="OUI", I161="OUI", J161="OUI"), "✅ COMPLET", "⚠️ À OPTIMISER")</f>
        <v>0</v>
      </c>
    </row>
    <row r="162" spans="1:26">
      <c r="A162">
        <v>161</v>
      </c>
      <c r="B162" t="s">
        <v>193</v>
      </c>
      <c r="C162" t="s">
        <v>238</v>
      </c>
      <c r="D162" t="s">
        <v>366</v>
      </c>
      <c r="E162" t="s">
        <v>393</v>
      </c>
      <c r="F162" t="s">
        <v>406</v>
      </c>
      <c r="G162">
        <f>IF(OR(E162&lt;5, H162="NON", I162="NON", J162="NON"), "HAUTE", "MOYENNE")</f>
        <v>0</v>
      </c>
      <c r="H162" t="s">
        <v>415</v>
      </c>
      <c r="I162" t="s">
        <v>415</v>
      </c>
      <c r="J162" t="s">
        <v>415</v>
      </c>
      <c r="L162" t="s">
        <v>18</v>
      </c>
      <c r="M162" t="s">
        <v>417</v>
      </c>
      <c r="N162" t="s">
        <v>417</v>
      </c>
      <c r="Q162" t="s">
        <v>416</v>
      </c>
      <c r="R162" t="s">
        <v>238</v>
      </c>
      <c r="U162" t="s">
        <v>474</v>
      </c>
      <c r="V162" t="s">
        <v>502</v>
      </c>
      <c r="W162" t="s">
        <v>635</v>
      </c>
      <c r="X162" t="s">
        <v>765</v>
      </c>
      <c r="Y162" t="s">
        <v>418</v>
      </c>
      <c r="Z162">
        <f>IF(AND(H162="OUI", I162="OUI", J162="OUI"), "✅ COMPLET", "⚠️ À OPTIMISER")</f>
        <v>0</v>
      </c>
    </row>
    <row r="163" spans="1:26">
      <c r="A163">
        <v>162</v>
      </c>
      <c r="B163" t="s">
        <v>194</v>
      </c>
      <c r="E163" t="s">
        <v>405</v>
      </c>
      <c r="F163" t="s">
        <v>406</v>
      </c>
      <c r="G163">
        <f>IF(OR(E163&lt;5, H163="NON", I163="NON", J163="NON"), "HAUTE", "MOYENNE")</f>
        <v>0</v>
      </c>
      <c r="H163" t="s">
        <v>373</v>
      </c>
      <c r="I163" t="s">
        <v>373</v>
      </c>
      <c r="J163" t="s">
        <v>373</v>
      </c>
      <c r="V163" t="s">
        <v>502</v>
      </c>
      <c r="W163" t="s">
        <v>418</v>
      </c>
      <c r="X163" t="s">
        <v>418</v>
      </c>
      <c r="Y163" t="s">
        <v>418</v>
      </c>
      <c r="Z163">
        <f>IF(AND(H163="OUI", I163="OUI", J163="OUI"), "✅ COMPLET", "⚠️ À OPTIMISER")</f>
        <v>0</v>
      </c>
    </row>
    <row r="164" spans="1:26">
      <c r="A164">
        <v>163</v>
      </c>
      <c r="B164" t="s">
        <v>195</v>
      </c>
      <c r="E164" t="s">
        <v>405</v>
      </c>
      <c r="F164" t="s">
        <v>409</v>
      </c>
      <c r="G164">
        <f>IF(OR(E164&lt;5, H164="NON", I164="NON", J164="NON"), "HAUTE", "MOYENNE")</f>
        <v>0</v>
      </c>
      <c r="H164" t="s">
        <v>373</v>
      </c>
      <c r="I164" t="s">
        <v>373</v>
      </c>
      <c r="J164" t="s">
        <v>373</v>
      </c>
      <c r="V164" t="s">
        <v>502</v>
      </c>
      <c r="W164" t="s">
        <v>418</v>
      </c>
      <c r="X164" t="s">
        <v>418</v>
      </c>
      <c r="Y164" t="s">
        <v>418</v>
      </c>
      <c r="Z164">
        <f>IF(AND(H164="OUI", I164="OUI", J164="OUI"), "✅ COMPLET", "⚠️ À OPTIMISER")</f>
        <v>0</v>
      </c>
    </row>
    <row r="165" spans="1:26">
      <c r="A165">
        <v>164</v>
      </c>
      <c r="B165" t="s">
        <v>196</v>
      </c>
      <c r="E165" t="s">
        <v>405</v>
      </c>
      <c r="F165" t="s">
        <v>406</v>
      </c>
      <c r="G165">
        <f>IF(OR(E165&lt;5, H165="NON", I165="NON", J165="NON"), "HAUTE", "MOYENNE")</f>
        <v>0</v>
      </c>
      <c r="H165" t="s">
        <v>373</v>
      </c>
      <c r="I165" t="s">
        <v>373</v>
      </c>
      <c r="J165" t="s">
        <v>373</v>
      </c>
      <c r="V165" t="s">
        <v>502</v>
      </c>
      <c r="W165" t="s">
        <v>418</v>
      </c>
      <c r="X165" t="s">
        <v>418</v>
      </c>
      <c r="Y165" t="s">
        <v>418</v>
      </c>
      <c r="Z165">
        <f>IF(AND(H165="OUI", I165="OUI", J165="OUI"), "✅ COMPLET", "⚠️ À OPTIMISER")</f>
        <v>0</v>
      </c>
    </row>
    <row r="166" spans="1:26">
      <c r="A166">
        <v>165</v>
      </c>
      <c r="B166" t="s">
        <v>197</v>
      </c>
      <c r="E166" t="s">
        <v>405</v>
      </c>
      <c r="F166" t="s">
        <v>406</v>
      </c>
      <c r="G166">
        <f>IF(OR(E166&lt;5, H166="NON", I166="NON", J166="NON"), "HAUTE", "MOYENNE")</f>
        <v>0</v>
      </c>
      <c r="H166" t="s">
        <v>373</v>
      </c>
      <c r="I166" t="s">
        <v>373</v>
      </c>
      <c r="J166" t="s">
        <v>373</v>
      </c>
      <c r="V166" t="s">
        <v>502</v>
      </c>
      <c r="W166" t="s">
        <v>418</v>
      </c>
      <c r="X166" t="s">
        <v>418</v>
      </c>
      <c r="Y166" t="s">
        <v>418</v>
      </c>
      <c r="Z166">
        <f>IF(AND(H166="OUI", I166="OUI", J166="OUI"), "✅ COMPLET", "⚠️ À OPTIMISER")</f>
        <v>0</v>
      </c>
    </row>
    <row r="167" spans="1:26">
      <c r="A167">
        <v>166</v>
      </c>
      <c r="B167" t="s">
        <v>198</v>
      </c>
      <c r="E167" t="s">
        <v>405</v>
      </c>
      <c r="F167" t="s">
        <v>5</v>
      </c>
      <c r="G167">
        <f>IF(OR(E167&lt;5, H167="NON", I167="NON", J167="NON"), "HAUTE", "MOYENNE")</f>
        <v>0</v>
      </c>
      <c r="H167" t="s">
        <v>373</v>
      </c>
      <c r="I167" t="s">
        <v>373</v>
      </c>
      <c r="J167" t="s">
        <v>373</v>
      </c>
      <c r="V167" t="s">
        <v>502</v>
      </c>
      <c r="W167" t="s">
        <v>418</v>
      </c>
      <c r="X167" t="s">
        <v>418</v>
      </c>
      <c r="Y167" t="s">
        <v>418</v>
      </c>
      <c r="Z167">
        <f>IF(AND(H167="OUI", I167="OUI", J167="OUI"), "✅ COMPLET", "⚠️ À OPTIMISER")</f>
        <v>0</v>
      </c>
    </row>
    <row r="168" spans="1:26">
      <c r="A168">
        <v>167</v>
      </c>
      <c r="B168" t="s">
        <v>199</v>
      </c>
      <c r="E168" t="s">
        <v>405</v>
      </c>
      <c r="F168" t="s">
        <v>5</v>
      </c>
      <c r="G168">
        <f>IF(OR(E168&lt;5, H168="NON", I168="NON", J168="NON"), "HAUTE", "MOYENNE")</f>
        <v>0</v>
      </c>
      <c r="H168" t="s">
        <v>373</v>
      </c>
      <c r="I168" t="s">
        <v>373</v>
      </c>
      <c r="J168" t="s">
        <v>373</v>
      </c>
      <c r="V168" t="s">
        <v>502</v>
      </c>
      <c r="W168" t="s">
        <v>418</v>
      </c>
      <c r="X168" t="s">
        <v>418</v>
      </c>
      <c r="Y168" t="s">
        <v>418</v>
      </c>
      <c r="Z168">
        <f>IF(AND(H168="OUI", I168="OUI", J168="OUI"), "✅ COMPLET", "⚠️ À OPTIMISER")</f>
        <v>0</v>
      </c>
    </row>
    <row r="169" spans="1:26">
      <c r="A169">
        <v>168</v>
      </c>
      <c r="B169" t="s">
        <v>200</v>
      </c>
      <c r="E169" t="s">
        <v>405</v>
      </c>
      <c r="F169" t="s">
        <v>5</v>
      </c>
      <c r="G169">
        <f>IF(OR(E169&lt;5, H169="NON", I169="NON", J169="NON"), "HAUTE", "MOYENNE")</f>
        <v>0</v>
      </c>
      <c r="H169" t="s">
        <v>373</v>
      </c>
      <c r="I169" t="s">
        <v>373</v>
      </c>
      <c r="J169" t="s">
        <v>373</v>
      </c>
      <c r="V169" t="s">
        <v>502</v>
      </c>
      <c r="W169" t="s">
        <v>418</v>
      </c>
      <c r="X169" t="s">
        <v>418</v>
      </c>
      <c r="Y169" t="s">
        <v>418</v>
      </c>
      <c r="Z169">
        <f>IF(AND(H169="OUI", I169="OUI", J169="OUI"), "✅ COMPLET", "⚠️ À OPTIMISER")</f>
        <v>0</v>
      </c>
    </row>
    <row r="170" spans="1:26">
      <c r="A170">
        <v>169</v>
      </c>
      <c r="B170" t="s">
        <v>201</v>
      </c>
      <c r="E170" t="s">
        <v>405</v>
      </c>
      <c r="F170" t="s">
        <v>409</v>
      </c>
      <c r="G170">
        <f>IF(OR(E170&lt;5, H170="NON", I170="NON", J170="NON"), "HAUTE", "MOYENNE")</f>
        <v>0</v>
      </c>
      <c r="H170" t="s">
        <v>373</v>
      </c>
      <c r="I170" t="s">
        <v>373</v>
      </c>
      <c r="J170" t="s">
        <v>373</v>
      </c>
      <c r="V170" t="s">
        <v>502</v>
      </c>
      <c r="W170" t="s">
        <v>418</v>
      </c>
      <c r="X170" t="s">
        <v>418</v>
      </c>
      <c r="Y170" t="s">
        <v>418</v>
      </c>
      <c r="Z170">
        <f>IF(AND(H170="OUI", I170="OUI", J170="OUI"), "✅ COMPLET", "⚠️ À OPTIMISER")</f>
        <v>0</v>
      </c>
    </row>
    <row r="171" spans="1:26">
      <c r="A171">
        <v>170</v>
      </c>
      <c r="B171" t="s">
        <v>202</v>
      </c>
      <c r="E171" t="s">
        <v>405</v>
      </c>
      <c r="F171" t="s">
        <v>202</v>
      </c>
      <c r="G171">
        <f>IF(OR(E171&lt;5, H171="NON", I171="NON", J171="NON"), "HAUTE", "MOYENNE")</f>
        <v>0</v>
      </c>
      <c r="H171" t="s">
        <v>373</v>
      </c>
      <c r="I171" t="s">
        <v>373</v>
      </c>
      <c r="J171" t="s">
        <v>373</v>
      </c>
      <c r="V171" t="s">
        <v>502</v>
      </c>
      <c r="W171" t="s">
        <v>418</v>
      </c>
      <c r="X171" t="s">
        <v>418</v>
      </c>
      <c r="Y171" t="s">
        <v>418</v>
      </c>
      <c r="Z171">
        <f>IF(AND(H171="OUI", I171="OUI", J171="OUI"), "✅ COMPLET", "⚠️ À OPTIMISER")</f>
        <v>0</v>
      </c>
    </row>
    <row r="172" spans="1:26">
      <c r="A172">
        <v>171</v>
      </c>
      <c r="B172" t="s">
        <v>203</v>
      </c>
      <c r="E172" t="s">
        <v>405</v>
      </c>
      <c r="F172" t="s">
        <v>203</v>
      </c>
      <c r="G172">
        <f>IF(OR(E172&lt;5, H172="NON", I172="NON", J172="NON"), "HAUTE", "MOYENNE")</f>
        <v>0</v>
      </c>
      <c r="H172" t="s">
        <v>373</v>
      </c>
      <c r="I172" t="s">
        <v>373</v>
      </c>
      <c r="J172" t="s">
        <v>373</v>
      </c>
      <c r="V172" t="s">
        <v>502</v>
      </c>
      <c r="W172" t="s">
        <v>418</v>
      </c>
      <c r="X172" t="s">
        <v>418</v>
      </c>
      <c r="Y172" t="s">
        <v>418</v>
      </c>
      <c r="Z172">
        <f>IF(AND(H172="OUI", I172="OUI", J172="OUI"), "✅ COMPLET", "⚠️ À OPTIMISER")</f>
        <v>0</v>
      </c>
    </row>
    <row r="173" spans="1:26">
      <c r="A173">
        <v>172</v>
      </c>
      <c r="B173" t="s">
        <v>204</v>
      </c>
      <c r="E173" t="s">
        <v>405</v>
      </c>
      <c r="F173" t="s">
        <v>204</v>
      </c>
      <c r="G173">
        <f>IF(OR(E173&lt;5, H173="NON", I173="NON", J173="NON"), "HAUTE", "MOYENNE")</f>
        <v>0</v>
      </c>
      <c r="H173" t="s">
        <v>373</v>
      </c>
      <c r="I173" t="s">
        <v>373</v>
      </c>
      <c r="J173" t="s">
        <v>373</v>
      </c>
      <c r="V173" t="s">
        <v>502</v>
      </c>
      <c r="W173" t="s">
        <v>418</v>
      </c>
      <c r="X173" t="s">
        <v>418</v>
      </c>
      <c r="Y173" t="s">
        <v>418</v>
      </c>
      <c r="Z173">
        <f>IF(AND(H173="OUI", I173="OUI", J173="OUI"), "✅ COMPLET", "⚠️ À OPTIMISER")</f>
        <v>0</v>
      </c>
    </row>
    <row r="174" spans="1:26">
      <c r="A174">
        <v>173</v>
      </c>
      <c r="B174" t="s">
        <v>205</v>
      </c>
      <c r="E174" t="s">
        <v>405</v>
      </c>
      <c r="F174" t="s">
        <v>205</v>
      </c>
      <c r="G174">
        <f>IF(OR(E174&lt;5, H174="NON", I174="NON", J174="NON"), "HAUTE", "MOYENNE")</f>
        <v>0</v>
      </c>
      <c r="H174" t="s">
        <v>373</v>
      </c>
      <c r="I174" t="s">
        <v>373</v>
      </c>
      <c r="J174" t="s">
        <v>373</v>
      </c>
      <c r="V174" t="s">
        <v>502</v>
      </c>
      <c r="W174" t="s">
        <v>418</v>
      </c>
      <c r="X174" t="s">
        <v>418</v>
      </c>
      <c r="Y174" t="s">
        <v>418</v>
      </c>
      <c r="Z174">
        <f>IF(AND(H174="OUI", I174="OUI", J174="OUI"), "✅ COMPLET", "⚠️ À OPTIMISER")</f>
        <v>0</v>
      </c>
    </row>
    <row r="175" spans="1:26">
      <c r="A175">
        <v>174</v>
      </c>
      <c r="B175" t="s">
        <v>206</v>
      </c>
      <c r="E175" t="s">
        <v>405</v>
      </c>
      <c r="F175" t="s">
        <v>206</v>
      </c>
      <c r="G175">
        <f>IF(OR(E175&lt;5, H175="NON", I175="NON", J175="NON"), "HAUTE", "MOYENNE")</f>
        <v>0</v>
      </c>
      <c r="H175" t="s">
        <v>373</v>
      </c>
      <c r="I175" t="s">
        <v>373</v>
      </c>
      <c r="J175" t="s">
        <v>373</v>
      </c>
      <c r="V175" t="s">
        <v>502</v>
      </c>
      <c r="W175" t="s">
        <v>418</v>
      </c>
      <c r="X175" t="s">
        <v>418</v>
      </c>
      <c r="Y175" t="s">
        <v>418</v>
      </c>
      <c r="Z175">
        <f>IF(AND(H175="OUI", I175="OUI", J175="OUI"), "✅ COMPLET", "⚠️ À OPTIMISER")</f>
        <v>0</v>
      </c>
    </row>
    <row r="176" spans="1:26">
      <c r="A176">
        <v>175</v>
      </c>
      <c r="B176" t="s">
        <v>207</v>
      </c>
      <c r="E176" t="s">
        <v>405</v>
      </c>
      <c r="F176" t="s">
        <v>207</v>
      </c>
      <c r="G176">
        <f>IF(OR(E176&lt;5, H176="NON", I176="NON", J176="NON"), "HAUTE", "MOYENNE")</f>
        <v>0</v>
      </c>
      <c r="H176" t="s">
        <v>373</v>
      </c>
      <c r="I176" t="s">
        <v>373</v>
      </c>
      <c r="J176" t="s">
        <v>373</v>
      </c>
      <c r="V176" t="s">
        <v>502</v>
      </c>
      <c r="W176" t="s">
        <v>418</v>
      </c>
      <c r="X176" t="s">
        <v>418</v>
      </c>
      <c r="Y176" t="s">
        <v>418</v>
      </c>
      <c r="Z176">
        <f>IF(AND(H176="OUI", I176="OUI", J176="OUI"), "✅ COMPLET", "⚠️ À OPTIMISER")</f>
        <v>0</v>
      </c>
    </row>
    <row r="177" spans="1:26">
      <c r="A177">
        <v>176</v>
      </c>
      <c r="B177" t="s">
        <v>208</v>
      </c>
      <c r="E177" t="s">
        <v>405</v>
      </c>
      <c r="F177" t="s">
        <v>406</v>
      </c>
      <c r="G177">
        <f>IF(OR(E177&lt;5, H177="NON", I177="NON", J177="NON"), "HAUTE", "MOYENNE")</f>
        <v>0</v>
      </c>
      <c r="H177" t="s">
        <v>373</v>
      </c>
      <c r="I177" t="s">
        <v>373</v>
      </c>
      <c r="J177" t="s">
        <v>373</v>
      </c>
      <c r="V177" t="s">
        <v>502</v>
      </c>
      <c r="W177" t="s">
        <v>418</v>
      </c>
      <c r="X177" t="s">
        <v>418</v>
      </c>
      <c r="Y177" t="s">
        <v>418</v>
      </c>
      <c r="Z177">
        <f>IF(AND(H177="OUI", I177="OUI", J177="OUI"), "✅ COMPLET", "⚠️ À OPTIMISER")</f>
        <v>0</v>
      </c>
    </row>
    <row r="178" spans="1:26">
      <c r="A178">
        <v>177</v>
      </c>
      <c r="B178" t="s">
        <v>209</v>
      </c>
      <c r="E178" t="s">
        <v>405</v>
      </c>
      <c r="F178" t="s">
        <v>409</v>
      </c>
      <c r="G178">
        <f>IF(OR(E178&lt;5, H178="NON", I178="NON", J178="NON"), "HAUTE", "MOYENNE")</f>
        <v>0</v>
      </c>
      <c r="H178" t="s">
        <v>373</v>
      </c>
      <c r="I178" t="s">
        <v>373</v>
      </c>
      <c r="J178" t="s">
        <v>373</v>
      </c>
      <c r="V178" t="s">
        <v>502</v>
      </c>
      <c r="W178" t="s">
        <v>418</v>
      </c>
      <c r="X178" t="s">
        <v>418</v>
      </c>
      <c r="Y178" t="s">
        <v>418</v>
      </c>
      <c r="Z178">
        <f>IF(AND(H178="OUI", I178="OUI", J178="OUI"), "✅ COMPLET", "⚠️ À OPTIMISER")</f>
        <v>0</v>
      </c>
    </row>
    <row r="179" spans="1:26">
      <c r="A179">
        <v>178</v>
      </c>
      <c r="B179" t="s">
        <v>210</v>
      </c>
      <c r="E179" t="s">
        <v>405</v>
      </c>
      <c r="F179" t="s">
        <v>406</v>
      </c>
      <c r="G179">
        <f>IF(OR(E179&lt;5, H179="NON", I179="NON", J179="NON"), "HAUTE", "MOYENNE")</f>
        <v>0</v>
      </c>
      <c r="H179" t="s">
        <v>373</v>
      </c>
      <c r="I179" t="s">
        <v>373</v>
      </c>
      <c r="J179" t="s">
        <v>373</v>
      </c>
      <c r="V179" t="s">
        <v>502</v>
      </c>
      <c r="W179" t="s">
        <v>418</v>
      </c>
      <c r="X179" t="s">
        <v>418</v>
      </c>
      <c r="Y179" t="s">
        <v>418</v>
      </c>
      <c r="Z179">
        <f>IF(AND(H179="OUI", I179="OUI", J179="OUI"), "✅ COMPLET", "⚠️ À OPTIMISER")</f>
        <v>0</v>
      </c>
    </row>
    <row r="180" spans="1:26">
      <c r="A180">
        <v>179</v>
      </c>
      <c r="B180" t="s">
        <v>211</v>
      </c>
      <c r="E180" t="s">
        <v>405</v>
      </c>
      <c r="F180" t="s">
        <v>5</v>
      </c>
      <c r="G180">
        <f>IF(OR(E180&lt;5, H180="NON", I180="NON", J180="NON"), "HAUTE", "MOYENNE")</f>
        <v>0</v>
      </c>
      <c r="H180" t="s">
        <v>373</v>
      </c>
      <c r="I180" t="s">
        <v>373</v>
      </c>
      <c r="J180" t="s">
        <v>373</v>
      </c>
      <c r="V180" t="s">
        <v>502</v>
      </c>
      <c r="W180" t="s">
        <v>418</v>
      </c>
      <c r="X180" t="s">
        <v>418</v>
      </c>
      <c r="Y180" t="s">
        <v>418</v>
      </c>
      <c r="Z180">
        <f>IF(AND(H180="OUI", I180="OUI", J180="OUI"), "✅ COMPLET", "⚠️ À OPTIMISER")</f>
        <v>0</v>
      </c>
    </row>
    <row r="181" spans="1:26">
      <c r="A181">
        <v>180</v>
      </c>
      <c r="B181" t="s">
        <v>212</v>
      </c>
      <c r="E181" t="s">
        <v>405</v>
      </c>
      <c r="F181" t="s">
        <v>212</v>
      </c>
      <c r="G181">
        <f>IF(OR(E181&lt;5, H181="NON", I181="NON", J181="NON"), "HAUTE", "MOYENNE")</f>
        <v>0</v>
      </c>
      <c r="H181" t="s">
        <v>373</v>
      </c>
      <c r="I181" t="s">
        <v>373</v>
      </c>
      <c r="J181" t="s">
        <v>373</v>
      </c>
      <c r="V181" t="s">
        <v>502</v>
      </c>
      <c r="W181" t="s">
        <v>418</v>
      </c>
      <c r="X181" t="s">
        <v>418</v>
      </c>
      <c r="Y181" t="s">
        <v>418</v>
      </c>
      <c r="Z181">
        <f>IF(AND(H181="OUI", I181="OUI", J181="OUI"), "✅ COMPLET", "⚠️ À OPTIMISER")</f>
        <v>0</v>
      </c>
    </row>
    <row r="182" spans="1:26">
      <c r="A182">
        <v>181</v>
      </c>
      <c r="B182" t="s">
        <v>213</v>
      </c>
      <c r="E182" t="s">
        <v>405</v>
      </c>
      <c r="F182" t="s">
        <v>213</v>
      </c>
      <c r="G182">
        <f>IF(OR(E182&lt;5, H182="NON", I182="NON", J182="NON"), "HAUTE", "MOYENNE")</f>
        <v>0</v>
      </c>
      <c r="H182" t="s">
        <v>373</v>
      </c>
      <c r="I182" t="s">
        <v>373</v>
      </c>
      <c r="J182" t="s">
        <v>373</v>
      </c>
      <c r="V182" t="s">
        <v>502</v>
      </c>
      <c r="W182" t="s">
        <v>418</v>
      </c>
      <c r="X182" t="s">
        <v>418</v>
      </c>
      <c r="Y182" t="s">
        <v>418</v>
      </c>
      <c r="Z182">
        <f>IF(AND(H182="OUI", I182="OUI", J182="OUI"), "✅ COMPLET", "⚠️ À OPTIMISER")</f>
        <v>0</v>
      </c>
    </row>
    <row r="183" spans="1:26">
      <c r="A183">
        <v>182</v>
      </c>
      <c r="B183" t="s">
        <v>214</v>
      </c>
      <c r="E183" t="s">
        <v>405</v>
      </c>
      <c r="F183" t="s">
        <v>409</v>
      </c>
      <c r="G183">
        <f>IF(OR(E183&lt;5, H183="NON", I183="NON", J183="NON"), "HAUTE", "MOYENNE")</f>
        <v>0</v>
      </c>
      <c r="H183" t="s">
        <v>373</v>
      </c>
      <c r="I183" t="s">
        <v>373</v>
      </c>
      <c r="J183" t="s">
        <v>373</v>
      </c>
      <c r="V183" t="s">
        <v>502</v>
      </c>
      <c r="W183" t="s">
        <v>418</v>
      </c>
      <c r="X183" t="s">
        <v>418</v>
      </c>
      <c r="Y183" t="s">
        <v>418</v>
      </c>
      <c r="Z183">
        <f>IF(AND(H183="OUI", I183="OUI", J183="OUI"), "✅ COMPLET", "⚠️ À OPTIMISER")</f>
        <v>0</v>
      </c>
    </row>
    <row r="184" spans="1:26">
      <c r="A184">
        <v>183</v>
      </c>
      <c r="B184" t="s">
        <v>215</v>
      </c>
      <c r="E184" t="s">
        <v>405</v>
      </c>
      <c r="F184" t="s">
        <v>215</v>
      </c>
      <c r="G184">
        <f>IF(OR(E184&lt;5, H184="NON", I184="NON", J184="NON"), "HAUTE", "MOYENNE")</f>
        <v>0</v>
      </c>
      <c r="H184" t="s">
        <v>373</v>
      </c>
      <c r="I184" t="s">
        <v>373</v>
      </c>
      <c r="J184" t="s">
        <v>373</v>
      </c>
      <c r="V184" t="s">
        <v>502</v>
      </c>
      <c r="W184" t="s">
        <v>418</v>
      </c>
      <c r="X184" t="s">
        <v>418</v>
      </c>
      <c r="Y184" t="s">
        <v>418</v>
      </c>
      <c r="Z184">
        <f>IF(AND(H184="OUI", I184="OUI", J184="OUI"), "✅ COMPLET", "⚠️ À OPTIMISER")</f>
        <v>0</v>
      </c>
    </row>
    <row r="185" spans="1:26">
      <c r="A185">
        <v>184</v>
      </c>
      <c r="B185" t="s">
        <v>216</v>
      </c>
      <c r="E185" t="s">
        <v>405</v>
      </c>
      <c r="F185" t="s">
        <v>406</v>
      </c>
      <c r="G185">
        <f>IF(OR(E185&lt;5, H185="NON", I185="NON", J185="NON"), "HAUTE", "MOYENNE")</f>
        <v>0</v>
      </c>
      <c r="H185" t="s">
        <v>373</v>
      </c>
      <c r="I185" t="s">
        <v>373</v>
      </c>
      <c r="J185" t="s">
        <v>373</v>
      </c>
      <c r="V185" t="s">
        <v>502</v>
      </c>
      <c r="W185" t="s">
        <v>418</v>
      </c>
      <c r="X185" t="s">
        <v>418</v>
      </c>
      <c r="Y185" t="s">
        <v>418</v>
      </c>
      <c r="Z185">
        <f>IF(AND(H185="OUI", I185="OUI", J185="OUI"), "✅ COMPLET", "⚠️ À OPTIMISER")</f>
        <v>0</v>
      </c>
    </row>
    <row r="186" spans="1:26">
      <c r="A186">
        <v>185</v>
      </c>
      <c r="B186" t="s">
        <v>217</v>
      </c>
      <c r="E186" t="s">
        <v>405</v>
      </c>
      <c r="F186" t="s">
        <v>406</v>
      </c>
      <c r="G186">
        <f>IF(OR(E186&lt;5, H186="NON", I186="NON", J186="NON"), "HAUTE", "MOYENNE")</f>
        <v>0</v>
      </c>
      <c r="H186" t="s">
        <v>373</v>
      </c>
      <c r="I186" t="s">
        <v>373</v>
      </c>
      <c r="J186" t="s">
        <v>373</v>
      </c>
      <c r="V186" t="s">
        <v>502</v>
      </c>
      <c r="W186" t="s">
        <v>418</v>
      </c>
      <c r="X186" t="s">
        <v>418</v>
      </c>
      <c r="Y186" t="s">
        <v>418</v>
      </c>
      <c r="Z186">
        <f>IF(AND(H186="OUI", I186="OUI", J186="OUI"), "✅ COMPLET", "⚠️ À OPTIMISER")</f>
        <v>0</v>
      </c>
    </row>
    <row r="187" spans="1:26">
      <c r="A187">
        <v>186</v>
      </c>
      <c r="B187" t="s">
        <v>218</v>
      </c>
      <c r="E187" t="s">
        <v>405</v>
      </c>
      <c r="F187" t="s">
        <v>218</v>
      </c>
      <c r="G187">
        <f>IF(OR(E187&lt;5, H187="NON", I187="NON", J187="NON"), "HAUTE", "MOYENNE")</f>
        <v>0</v>
      </c>
      <c r="H187" t="s">
        <v>373</v>
      </c>
      <c r="I187" t="s">
        <v>373</v>
      </c>
      <c r="J187" t="s">
        <v>373</v>
      </c>
      <c r="V187" t="s">
        <v>502</v>
      </c>
      <c r="W187" t="s">
        <v>418</v>
      </c>
      <c r="X187" t="s">
        <v>418</v>
      </c>
      <c r="Y187" t="s">
        <v>418</v>
      </c>
      <c r="Z187">
        <f>IF(AND(H187="OUI", I187="OUI", J187="OUI"), "✅ COMPLET", "⚠️ À OPTIMISER")</f>
        <v>0</v>
      </c>
    </row>
    <row r="188" spans="1:26">
      <c r="A188">
        <v>187</v>
      </c>
      <c r="B188" t="s">
        <v>219</v>
      </c>
      <c r="E188" t="s">
        <v>405</v>
      </c>
      <c r="F188" t="s">
        <v>409</v>
      </c>
      <c r="G188">
        <f>IF(OR(E188&lt;5, H188="NON", I188="NON", J188="NON"), "HAUTE", "MOYENNE")</f>
        <v>0</v>
      </c>
      <c r="H188" t="s">
        <v>373</v>
      </c>
      <c r="I188" t="s">
        <v>373</v>
      </c>
      <c r="J188" t="s">
        <v>373</v>
      </c>
      <c r="V188" t="s">
        <v>502</v>
      </c>
      <c r="W188" t="s">
        <v>418</v>
      </c>
      <c r="X188" t="s">
        <v>418</v>
      </c>
      <c r="Y188" t="s">
        <v>418</v>
      </c>
      <c r="Z188">
        <f>IF(AND(H188="OUI", I188="OUI", J188="OUI"), "✅ COMPLET", "⚠️ À OPTIMISER")</f>
        <v>0</v>
      </c>
    </row>
    <row r="189" spans="1:26">
      <c r="A189">
        <v>188</v>
      </c>
      <c r="B189" t="s">
        <v>220</v>
      </c>
      <c r="E189" t="s">
        <v>405</v>
      </c>
      <c r="F189" t="s">
        <v>406</v>
      </c>
      <c r="G189">
        <f>IF(OR(E189&lt;5, H189="NON", I189="NON", J189="NON"), "HAUTE", "MOYENNE")</f>
        <v>0</v>
      </c>
      <c r="H189" t="s">
        <v>373</v>
      </c>
      <c r="I189" t="s">
        <v>373</v>
      </c>
      <c r="J189" t="s">
        <v>373</v>
      </c>
      <c r="V189" t="s">
        <v>502</v>
      </c>
      <c r="W189" t="s">
        <v>418</v>
      </c>
      <c r="X189" t="s">
        <v>418</v>
      </c>
      <c r="Y189" t="s">
        <v>418</v>
      </c>
      <c r="Z189">
        <f>IF(AND(H189="OUI", I189="OUI", J189="OUI"), "✅ COMPLET", "⚠️ À OPTIMISER")</f>
        <v>0</v>
      </c>
    </row>
    <row r="190" spans="1:26">
      <c r="A190">
        <v>189</v>
      </c>
      <c r="B190" t="s">
        <v>221</v>
      </c>
      <c r="E190" t="s">
        <v>405</v>
      </c>
      <c r="F190" t="s">
        <v>406</v>
      </c>
      <c r="G190">
        <f>IF(OR(E190&lt;5, H190="NON", I190="NON", J190="NON"), "HAUTE", "MOYENNE")</f>
        <v>0</v>
      </c>
      <c r="H190" t="s">
        <v>373</v>
      </c>
      <c r="I190" t="s">
        <v>373</v>
      </c>
      <c r="J190" t="s">
        <v>373</v>
      </c>
      <c r="V190" t="s">
        <v>502</v>
      </c>
      <c r="W190" t="s">
        <v>418</v>
      </c>
      <c r="X190" t="s">
        <v>418</v>
      </c>
      <c r="Y190" t="s">
        <v>418</v>
      </c>
      <c r="Z190">
        <f>IF(AND(H190="OUI", I190="OUI", J190="OUI"), "✅ COMPLET", "⚠️ À OPTIMISER")</f>
        <v>0</v>
      </c>
    </row>
    <row r="191" spans="1:26">
      <c r="A191">
        <v>190</v>
      </c>
      <c r="B191" t="s">
        <v>222</v>
      </c>
      <c r="E191" t="s">
        <v>405</v>
      </c>
      <c r="F191" t="s">
        <v>406</v>
      </c>
      <c r="G191">
        <f>IF(OR(E191&lt;5, H191="NON", I191="NON", J191="NON"), "HAUTE", "MOYENNE")</f>
        <v>0</v>
      </c>
      <c r="H191" t="s">
        <v>373</v>
      </c>
      <c r="I191" t="s">
        <v>373</v>
      </c>
      <c r="J191" t="s">
        <v>373</v>
      </c>
      <c r="V191" t="s">
        <v>502</v>
      </c>
      <c r="W191" t="s">
        <v>418</v>
      </c>
      <c r="X191" t="s">
        <v>418</v>
      </c>
      <c r="Y191" t="s">
        <v>418</v>
      </c>
      <c r="Z191">
        <f>IF(AND(H191="OUI", I191="OUI", J191="OUI"), "✅ COMPLET", "⚠️ À OPTIMISER")</f>
        <v>0</v>
      </c>
    </row>
    <row r="192" spans="1:26">
      <c r="A192">
        <v>191</v>
      </c>
      <c r="B192" t="s">
        <v>223</v>
      </c>
      <c r="E192" t="s">
        <v>405</v>
      </c>
      <c r="F192" t="s">
        <v>406</v>
      </c>
      <c r="G192">
        <f>IF(OR(E192&lt;5, H192="NON", I192="NON", J192="NON"), "HAUTE", "MOYENNE")</f>
        <v>0</v>
      </c>
      <c r="H192" t="s">
        <v>373</v>
      </c>
      <c r="I192" t="s">
        <v>373</v>
      </c>
      <c r="J192" t="s">
        <v>373</v>
      </c>
      <c r="V192" t="s">
        <v>502</v>
      </c>
      <c r="W192" t="s">
        <v>418</v>
      </c>
      <c r="X192" t="s">
        <v>418</v>
      </c>
      <c r="Y192" t="s">
        <v>418</v>
      </c>
      <c r="Z192">
        <f>IF(AND(H192="OUI", I192="OUI", J192="OUI"), "✅ COMPLET", "⚠️ À OPTIMISER")</f>
        <v>0</v>
      </c>
    </row>
    <row r="193" spans="1:26">
      <c r="A193">
        <v>192</v>
      </c>
      <c r="B193" t="s">
        <v>224</v>
      </c>
      <c r="E193" t="s">
        <v>405</v>
      </c>
      <c r="F193" t="s">
        <v>414</v>
      </c>
      <c r="G193">
        <f>IF(OR(E193&lt;5, H193="NON", I193="NON", J193="NON"), "HAUTE", "MOYENNE")</f>
        <v>0</v>
      </c>
      <c r="H193" t="s">
        <v>373</v>
      </c>
      <c r="I193" t="s">
        <v>373</v>
      </c>
      <c r="J193" t="s">
        <v>373</v>
      </c>
      <c r="V193" t="s">
        <v>502</v>
      </c>
      <c r="W193" t="s">
        <v>418</v>
      </c>
      <c r="X193" t="s">
        <v>418</v>
      </c>
      <c r="Y193" t="s">
        <v>418</v>
      </c>
      <c r="Z193">
        <f>IF(AND(H193="OUI", I193="OUI", J193="OUI"), "✅ COMPLET", "⚠️ À OPTIMISER")</f>
        <v>0</v>
      </c>
    </row>
    <row r="194" spans="1:26">
      <c r="A194">
        <v>193</v>
      </c>
      <c r="B194" t="s">
        <v>225</v>
      </c>
      <c r="E194" t="s">
        <v>405</v>
      </c>
      <c r="F194" t="s">
        <v>406</v>
      </c>
      <c r="G194">
        <f>IF(OR(E194&lt;5, H194="NON", I194="NON", J194="NON"), "HAUTE", "MOYENNE")</f>
        <v>0</v>
      </c>
      <c r="H194" t="s">
        <v>373</v>
      </c>
      <c r="I194" t="s">
        <v>373</v>
      </c>
      <c r="J194" t="s">
        <v>373</v>
      </c>
      <c r="V194" t="s">
        <v>502</v>
      </c>
      <c r="W194" t="s">
        <v>418</v>
      </c>
      <c r="X194" t="s">
        <v>418</v>
      </c>
      <c r="Y194" t="s">
        <v>418</v>
      </c>
      <c r="Z194">
        <f>IF(AND(H194="OUI", I194="OUI", J194="OUI"), "✅ COMPLET", "⚠️ À OPTIMISER")</f>
        <v>0</v>
      </c>
    </row>
    <row r="195" spans="1:26">
      <c r="A195">
        <v>194</v>
      </c>
      <c r="B195" t="s">
        <v>226</v>
      </c>
      <c r="E195" t="s">
        <v>405</v>
      </c>
      <c r="F195" t="s">
        <v>409</v>
      </c>
      <c r="G195">
        <f>IF(OR(E195&lt;5, H195="NON", I195="NON", J195="NON"), "HAUTE", "MOYENNE")</f>
        <v>0</v>
      </c>
      <c r="H195" t="s">
        <v>373</v>
      </c>
      <c r="I195" t="s">
        <v>373</v>
      </c>
      <c r="J195" t="s">
        <v>373</v>
      </c>
      <c r="V195" t="s">
        <v>502</v>
      </c>
      <c r="W195" t="s">
        <v>418</v>
      </c>
      <c r="X195" t="s">
        <v>418</v>
      </c>
      <c r="Y195" t="s">
        <v>418</v>
      </c>
      <c r="Z195">
        <f>IF(AND(H195="OUI", I195="OUI", J195="OUI"), "✅ COMPLET", "⚠️ À OPTIMISER")</f>
        <v>0</v>
      </c>
    </row>
    <row r="196" spans="1:26">
      <c r="A196">
        <v>195</v>
      </c>
      <c r="B196" t="s">
        <v>227</v>
      </c>
      <c r="E196" t="s">
        <v>405</v>
      </c>
      <c r="F196" t="s">
        <v>227</v>
      </c>
      <c r="G196">
        <f>IF(OR(E196&lt;5, H196="NON", I196="NON", J196="NON"), "HAUTE", "MOYENNE")</f>
        <v>0</v>
      </c>
      <c r="H196" t="s">
        <v>373</v>
      </c>
      <c r="I196" t="s">
        <v>373</v>
      </c>
      <c r="J196" t="s">
        <v>373</v>
      </c>
      <c r="V196" t="s">
        <v>502</v>
      </c>
      <c r="W196" t="s">
        <v>418</v>
      </c>
      <c r="X196" t="s">
        <v>418</v>
      </c>
      <c r="Y196" t="s">
        <v>418</v>
      </c>
      <c r="Z196">
        <f>IF(AND(H196="OUI", I196="OUI", J196="OUI"), "✅ COMPLET", "⚠️ À OPTIMISER")</f>
        <v>0</v>
      </c>
    </row>
    <row r="197" spans="1:26">
      <c r="A197">
        <v>196</v>
      </c>
      <c r="B197" t="s">
        <v>228</v>
      </c>
      <c r="E197" t="s">
        <v>405</v>
      </c>
      <c r="F197" t="s">
        <v>409</v>
      </c>
      <c r="G197">
        <f>IF(OR(E197&lt;5, H197="NON", I197="NON", J197="NON"), "HAUTE", "MOYENNE")</f>
        <v>0</v>
      </c>
      <c r="H197" t="s">
        <v>373</v>
      </c>
      <c r="I197" t="s">
        <v>373</v>
      </c>
      <c r="J197" t="s">
        <v>373</v>
      </c>
      <c r="V197" t="s">
        <v>502</v>
      </c>
      <c r="W197" t="s">
        <v>418</v>
      </c>
      <c r="X197" t="s">
        <v>418</v>
      </c>
      <c r="Y197" t="s">
        <v>418</v>
      </c>
      <c r="Z197">
        <f>IF(AND(H197="OUI", I197="OUI", J197="OUI"), "✅ COMPLET", "⚠️ À OPTIMISER")</f>
        <v>0</v>
      </c>
    </row>
    <row r="198" spans="1:26">
      <c r="A198">
        <v>197</v>
      </c>
      <c r="B198" t="s">
        <v>229</v>
      </c>
      <c r="E198" t="s">
        <v>405</v>
      </c>
      <c r="F198" t="s">
        <v>409</v>
      </c>
      <c r="G198">
        <f>IF(OR(E198&lt;5, H198="NON", I198="NON", J198="NON"), "HAUTE", "MOYENNE")</f>
        <v>0</v>
      </c>
      <c r="H198" t="s">
        <v>373</v>
      </c>
      <c r="I198" t="s">
        <v>373</v>
      </c>
      <c r="J198" t="s">
        <v>373</v>
      </c>
      <c r="V198" t="s">
        <v>502</v>
      </c>
      <c r="W198" t="s">
        <v>418</v>
      </c>
      <c r="X198" t="s">
        <v>418</v>
      </c>
      <c r="Y198" t="s">
        <v>418</v>
      </c>
      <c r="Z198">
        <f>IF(AND(H198="OUI", I198="OUI", J198="OUI"), "✅ COMPLET", "⚠️ À OPTIMISER")</f>
        <v>0</v>
      </c>
    </row>
    <row r="199" spans="1:26">
      <c r="A199">
        <v>198</v>
      </c>
      <c r="B199" t="s">
        <v>230</v>
      </c>
      <c r="E199" t="s">
        <v>405</v>
      </c>
      <c r="F199" t="s">
        <v>406</v>
      </c>
      <c r="G199">
        <f>IF(OR(E199&lt;5, H199="NON", I199="NON", J199="NON"), "HAUTE", "MOYENNE")</f>
        <v>0</v>
      </c>
      <c r="H199" t="s">
        <v>373</v>
      </c>
      <c r="I199" t="s">
        <v>373</v>
      </c>
      <c r="J199" t="s">
        <v>373</v>
      </c>
      <c r="V199" t="s">
        <v>502</v>
      </c>
      <c r="W199" t="s">
        <v>418</v>
      </c>
      <c r="X199" t="s">
        <v>418</v>
      </c>
      <c r="Y199" t="s">
        <v>418</v>
      </c>
      <c r="Z199">
        <f>IF(AND(H199="OUI", I199="OUI", J199="OUI"), "✅ COMPLET", "⚠️ À OPTIMISER")</f>
        <v>0</v>
      </c>
    </row>
    <row r="200" spans="1:26">
      <c r="A200">
        <v>199</v>
      </c>
      <c r="B200" t="s">
        <v>231</v>
      </c>
      <c r="E200" t="s">
        <v>405</v>
      </c>
      <c r="F200" t="s">
        <v>406</v>
      </c>
      <c r="G200">
        <f>IF(OR(E200&lt;5, H200="NON", I200="NON", J200="NON"), "HAUTE", "MOYENNE")</f>
        <v>0</v>
      </c>
      <c r="H200" t="s">
        <v>373</v>
      </c>
      <c r="I200" t="s">
        <v>373</v>
      </c>
      <c r="J200" t="s">
        <v>373</v>
      </c>
      <c r="V200" t="s">
        <v>502</v>
      </c>
      <c r="W200" t="s">
        <v>418</v>
      </c>
      <c r="X200" t="s">
        <v>418</v>
      </c>
      <c r="Y200" t="s">
        <v>418</v>
      </c>
      <c r="Z200">
        <f>IF(AND(H200="OUI", I200="OUI", J200="OUI"), "✅ COMPLET", "⚠️ À OPTIMISER")</f>
        <v>0</v>
      </c>
    </row>
    <row r="201" spans="1:26">
      <c r="A201">
        <v>200</v>
      </c>
      <c r="B201" t="s">
        <v>232</v>
      </c>
      <c r="E201" t="s">
        <v>405</v>
      </c>
      <c r="F201" t="s">
        <v>406</v>
      </c>
      <c r="G201">
        <f>IF(OR(E201&lt;5, H201="NON", I201="NON", J201="NON"), "HAUTE", "MOYENNE")</f>
        <v>0</v>
      </c>
      <c r="H201" t="s">
        <v>373</v>
      </c>
      <c r="I201" t="s">
        <v>373</v>
      </c>
      <c r="J201" t="s">
        <v>373</v>
      </c>
      <c r="V201" t="s">
        <v>502</v>
      </c>
      <c r="W201" t="s">
        <v>418</v>
      </c>
      <c r="X201" t="s">
        <v>418</v>
      </c>
      <c r="Y201" t="s">
        <v>418</v>
      </c>
      <c r="Z201">
        <f>IF(AND(H201="OUI", I201="OUI", J201="OUI"), "✅ COMPLET", "⚠️ À OPTIMISER")</f>
        <v>0</v>
      </c>
    </row>
    <row r="202" spans="1:26">
      <c r="A202">
        <v>201</v>
      </c>
      <c r="B202" t="s">
        <v>233</v>
      </c>
      <c r="E202" t="s">
        <v>405</v>
      </c>
      <c r="F202" t="s">
        <v>412</v>
      </c>
      <c r="G202">
        <f>IF(OR(E202&lt;5, H202="NON", I202="NON", J202="NON"), "HAUTE", "MOYENNE")</f>
        <v>0</v>
      </c>
      <c r="H202" t="s">
        <v>373</v>
      </c>
      <c r="I202" t="s">
        <v>373</v>
      </c>
      <c r="J202" t="s">
        <v>373</v>
      </c>
      <c r="V202" t="s">
        <v>502</v>
      </c>
      <c r="W202" t="s">
        <v>418</v>
      </c>
      <c r="X202" t="s">
        <v>418</v>
      </c>
      <c r="Y202" t="s">
        <v>418</v>
      </c>
      <c r="Z202">
        <f>IF(AND(H202="OUI", I202="OUI", J202="OUI"), "✅ COMPLET", "⚠️ À OPTIMISER")</f>
        <v>0</v>
      </c>
    </row>
    <row r="203" spans="1:26">
      <c r="A203">
        <v>202</v>
      </c>
      <c r="B203" t="s">
        <v>234</v>
      </c>
      <c r="E203" t="s">
        <v>405</v>
      </c>
      <c r="F203" t="s">
        <v>412</v>
      </c>
      <c r="G203">
        <f>IF(OR(E203&lt;5, H203="NON", I203="NON", J203="NON"), "HAUTE", "MOYENNE")</f>
        <v>0</v>
      </c>
      <c r="H203" t="s">
        <v>373</v>
      </c>
      <c r="I203" t="s">
        <v>373</v>
      </c>
      <c r="J203" t="s">
        <v>373</v>
      </c>
      <c r="V203" t="s">
        <v>502</v>
      </c>
      <c r="W203" t="s">
        <v>418</v>
      </c>
      <c r="X203" t="s">
        <v>418</v>
      </c>
      <c r="Y203" t="s">
        <v>418</v>
      </c>
      <c r="Z203">
        <f>IF(AND(H203="OUI", I203="OUI", J203="OUI"), "✅ COMPLET", "⚠️ À OPTIMISER")</f>
        <v>0</v>
      </c>
    </row>
    <row r="204" spans="1:26">
      <c r="A204">
        <v>203</v>
      </c>
      <c r="B204" t="s">
        <v>235</v>
      </c>
      <c r="E204" t="s">
        <v>405</v>
      </c>
      <c r="F204" t="s">
        <v>412</v>
      </c>
      <c r="G204">
        <f>IF(OR(E204&lt;5, H204="NON", I204="NON", J204="NON"), "HAUTE", "MOYENNE")</f>
        <v>0</v>
      </c>
      <c r="H204" t="s">
        <v>373</v>
      </c>
      <c r="I204" t="s">
        <v>373</v>
      </c>
      <c r="J204" t="s">
        <v>373</v>
      </c>
      <c r="V204" t="s">
        <v>502</v>
      </c>
      <c r="W204" t="s">
        <v>418</v>
      </c>
      <c r="X204" t="s">
        <v>418</v>
      </c>
      <c r="Y204" t="s">
        <v>418</v>
      </c>
      <c r="Z204">
        <f>IF(AND(H204="OUI", I204="OUI", J204="OUI"), "✅ COMPLET", "⚠️ À OPTIMISER")</f>
        <v>0</v>
      </c>
    </row>
    <row r="205" spans="1:26">
      <c r="A205">
        <v>204</v>
      </c>
      <c r="B205" t="s">
        <v>236</v>
      </c>
      <c r="E205" t="s">
        <v>405</v>
      </c>
      <c r="F205" t="s">
        <v>408</v>
      </c>
      <c r="G205">
        <f>IF(OR(E205&lt;5, H205="NON", I205="NON", J205="NON"), "HAUTE", "MOYENNE")</f>
        <v>0</v>
      </c>
      <c r="H205" t="s">
        <v>373</v>
      </c>
      <c r="I205" t="s">
        <v>373</v>
      </c>
      <c r="J205" t="s">
        <v>373</v>
      </c>
      <c r="V205" t="s">
        <v>502</v>
      </c>
      <c r="W205" t="s">
        <v>418</v>
      </c>
      <c r="X205" t="s">
        <v>418</v>
      </c>
      <c r="Y205" t="s">
        <v>418</v>
      </c>
      <c r="Z205">
        <f>IF(AND(H205="OUI", I205="OUI", J205="OUI"), "✅ COMPLET", "⚠️ À OPTIMISER")</f>
        <v>0</v>
      </c>
    </row>
  </sheetData>
  <conditionalFormatting sqref="G2:G205">
    <cfRule type="cellIs" dxfId="0" priority="1" operator="equal">
      <formula>"HAUTE"</formula>
    </cfRule>
    <cfRule type="cellIs" dxfId="1" priority="2" operator="equal">
      <formula>"MOYENNE"</formula>
    </cfRule>
  </conditionalFormatting>
  <conditionalFormatting sqref="Z2:Z205">
    <cfRule type="containsText" dxfId="2" priority="3" operator="containsText" text="COMPLET">
      <formula>NOT(ISERROR(SEARCH("COMPLET",Z2)))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13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5.7109375" customWidth="1"/>
    <col min="2" max="26" width="20.7109375" customWidth="1"/>
  </cols>
  <sheetData>
    <row r="1" spans="1:18">
      <c r="A1" s="2" t="s">
        <v>773</v>
      </c>
      <c r="B1" s="2" t="s">
        <v>774</v>
      </c>
      <c r="C1" s="2" t="s">
        <v>775</v>
      </c>
      <c r="D1" s="2" t="s">
        <v>776</v>
      </c>
      <c r="E1" s="2" t="s">
        <v>777</v>
      </c>
      <c r="F1" s="2" t="s">
        <v>778</v>
      </c>
      <c r="G1" s="2" t="s">
        <v>779</v>
      </c>
      <c r="H1" s="2" t="s">
        <v>780</v>
      </c>
      <c r="I1" s="2" t="s">
        <v>781</v>
      </c>
      <c r="J1" s="2" t="s">
        <v>782</v>
      </c>
      <c r="K1" s="2" t="s">
        <v>783</v>
      </c>
      <c r="L1" s="2" t="s">
        <v>784</v>
      </c>
      <c r="M1" s="2" t="s">
        <v>785</v>
      </c>
      <c r="N1" s="2" t="s">
        <v>786</v>
      </c>
      <c r="O1" s="2" t="s">
        <v>787</v>
      </c>
      <c r="P1" s="2" t="s">
        <v>788</v>
      </c>
      <c r="Q1" s="2" t="s">
        <v>789</v>
      </c>
      <c r="R1" s="2" t="s">
        <v>790</v>
      </c>
    </row>
    <row r="2" spans="1:18">
      <c r="A2" t="s">
        <v>791</v>
      </c>
      <c r="B2">
        <v>1</v>
      </c>
      <c r="C2" t="s">
        <v>869</v>
      </c>
      <c r="D2">
        <v>1</v>
      </c>
      <c r="F2" t="s">
        <v>876</v>
      </c>
      <c r="H2" t="s">
        <v>887</v>
      </c>
      <c r="P2" t="s">
        <v>939</v>
      </c>
      <c r="Q2" t="s">
        <v>1060</v>
      </c>
    </row>
    <row r="3" spans="1:18">
      <c r="A3" t="s">
        <v>193</v>
      </c>
      <c r="B3">
        <v>2</v>
      </c>
      <c r="C3" t="s">
        <v>869</v>
      </c>
      <c r="D3">
        <v>1</v>
      </c>
      <c r="F3" t="s">
        <v>876</v>
      </c>
      <c r="H3" t="s">
        <v>887</v>
      </c>
      <c r="P3" t="s">
        <v>940</v>
      </c>
      <c r="Q3" t="s">
        <v>1060</v>
      </c>
    </row>
    <row r="4" spans="1:18">
      <c r="A4" t="s">
        <v>157</v>
      </c>
      <c r="B4">
        <v>3</v>
      </c>
      <c r="C4" t="s">
        <v>869</v>
      </c>
      <c r="D4">
        <v>1</v>
      </c>
      <c r="F4" t="s">
        <v>876</v>
      </c>
      <c r="H4" t="s">
        <v>887</v>
      </c>
      <c r="P4" t="s">
        <v>941</v>
      </c>
      <c r="Q4" t="s">
        <v>1061</v>
      </c>
    </row>
    <row r="5" spans="1:18">
      <c r="A5" t="s">
        <v>113</v>
      </c>
      <c r="B5">
        <v>4</v>
      </c>
      <c r="C5" t="s">
        <v>869</v>
      </c>
      <c r="D5">
        <v>1</v>
      </c>
      <c r="F5" t="s">
        <v>876</v>
      </c>
      <c r="H5" t="s">
        <v>888</v>
      </c>
      <c r="I5" t="s">
        <v>891</v>
      </c>
      <c r="K5" t="s">
        <v>908</v>
      </c>
      <c r="P5" t="s">
        <v>942</v>
      </c>
      <c r="Q5" t="s">
        <v>1060</v>
      </c>
    </row>
    <row r="6" spans="1:18">
      <c r="A6" t="s">
        <v>70</v>
      </c>
      <c r="B6">
        <v>5</v>
      </c>
      <c r="C6" t="s">
        <v>869</v>
      </c>
      <c r="D6">
        <v>1</v>
      </c>
      <c r="F6" t="s">
        <v>876</v>
      </c>
      <c r="H6" t="s">
        <v>888</v>
      </c>
      <c r="I6" t="s">
        <v>891</v>
      </c>
      <c r="K6" t="s">
        <v>909</v>
      </c>
      <c r="P6" t="s">
        <v>943</v>
      </c>
      <c r="Q6" t="s">
        <v>1060</v>
      </c>
    </row>
    <row r="7" spans="1:18">
      <c r="A7" t="s">
        <v>59</v>
      </c>
      <c r="B7">
        <v>6</v>
      </c>
      <c r="C7" t="s">
        <v>869</v>
      </c>
      <c r="D7">
        <v>1</v>
      </c>
      <c r="F7" t="s">
        <v>876</v>
      </c>
      <c r="H7" t="s">
        <v>888</v>
      </c>
      <c r="I7" t="s">
        <v>892</v>
      </c>
      <c r="J7" t="s">
        <v>899</v>
      </c>
      <c r="K7" t="s">
        <v>910</v>
      </c>
      <c r="P7" t="s">
        <v>944</v>
      </c>
      <c r="Q7" t="s">
        <v>1062</v>
      </c>
    </row>
    <row r="8" spans="1:18">
      <c r="A8" t="s">
        <v>792</v>
      </c>
      <c r="B8">
        <v>8</v>
      </c>
      <c r="C8" t="s">
        <v>870</v>
      </c>
      <c r="D8">
        <v>0</v>
      </c>
      <c r="F8" t="s">
        <v>877</v>
      </c>
      <c r="G8" t="s">
        <v>884</v>
      </c>
      <c r="L8" t="s">
        <v>930</v>
      </c>
      <c r="P8" t="s">
        <v>945</v>
      </c>
      <c r="Q8" t="s">
        <v>1063</v>
      </c>
    </row>
    <row r="9" spans="1:18">
      <c r="A9" t="s">
        <v>47</v>
      </c>
      <c r="B9">
        <v>9</v>
      </c>
      <c r="C9" t="s">
        <v>4</v>
      </c>
      <c r="E9">
        <v>1</v>
      </c>
      <c r="F9" t="s">
        <v>878</v>
      </c>
      <c r="G9" t="s">
        <v>885</v>
      </c>
      <c r="H9" t="s">
        <v>888</v>
      </c>
      <c r="I9" t="s">
        <v>891</v>
      </c>
      <c r="K9" t="s">
        <v>911</v>
      </c>
      <c r="P9" t="s">
        <v>946</v>
      </c>
      <c r="Q9" t="s">
        <v>1060</v>
      </c>
    </row>
    <row r="10" spans="1:18">
      <c r="A10" t="s">
        <v>793</v>
      </c>
      <c r="B10">
        <v>10</v>
      </c>
      <c r="C10" t="s">
        <v>4</v>
      </c>
      <c r="E10">
        <v>1</v>
      </c>
      <c r="F10" t="s">
        <v>878</v>
      </c>
      <c r="G10" t="s">
        <v>885</v>
      </c>
      <c r="H10" t="s">
        <v>888</v>
      </c>
      <c r="I10" t="s">
        <v>891</v>
      </c>
      <c r="K10" t="s">
        <v>911</v>
      </c>
      <c r="P10" t="s">
        <v>947</v>
      </c>
      <c r="Q10" t="s">
        <v>1060</v>
      </c>
    </row>
    <row r="11" spans="1:18">
      <c r="A11" t="s">
        <v>794</v>
      </c>
      <c r="B11">
        <v>11</v>
      </c>
      <c r="C11" t="s">
        <v>870</v>
      </c>
      <c r="D11">
        <v>0</v>
      </c>
      <c r="F11" t="s">
        <v>877</v>
      </c>
      <c r="G11" t="s">
        <v>884</v>
      </c>
      <c r="P11" t="s">
        <v>948</v>
      </c>
      <c r="Q11" t="s">
        <v>1064</v>
      </c>
    </row>
    <row r="12" spans="1:18">
      <c r="A12" t="s">
        <v>795</v>
      </c>
      <c r="B12">
        <v>12</v>
      </c>
      <c r="C12" t="s">
        <v>869</v>
      </c>
      <c r="D12">
        <v>1</v>
      </c>
      <c r="F12" t="s">
        <v>876</v>
      </c>
      <c r="H12" t="s">
        <v>887</v>
      </c>
      <c r="P12" t="s">
        <v>949</v>
      </c>
      <c r="Q12" t="s">
        <v>1060</v>
      </c>
    </row>
    <row r="13" spans="1:18">
      <c r="A13" t="s">
        <v>796</v>
      </c>
      <c r="B13">
        <v>13</v>
      </c>
      <c r="C13" t="s">
        <v>4</v>
      </c>
      <c r="E13">
        <v>1</v>
      </c>
      <c r="F13" t="s">
        <v>878</v>
      </c>
      <c r="G13" t="s">
        <v>885</v>
      </c>
      <c r="P13" t="s">
        <v>950</v>
      </c>
      <c r="Q13" t="s">
        <v>1060</v>
      </c>
    </row>
    <row r="14" spans="1:18">
      <c r="A14" t="s">
        <v>797</v>
      </c>
      <c r="B14">
        <v>15</v>
      </c>
      <c r="C14" t="s">
        <v>4</v>
      </c>
      <c r="E14">
        <v>1</v>
      </c>
      <c r="F14" t="s">
        <v>878</v>
      </c>
      <c r="G14" t="s">
        <v>885</v>
      </c>
      <c r="H14" t="s">
        <v>888</v>
      </c>
      <c r="I14" t="s">
        <v>891</v>
      </c>
      <c r="K14" t="s">
        <v>911</v>
      </c>
      <c r="P14" t="s">
        <v>951</v>
      </c>
      <c r="Q14" t="s">
        <v>1065</v>
      </c>
    </row>
    <row r="15" spans="1:18">
      <c r="A15" t="s">
        <v>62</v>
      </c>
      <c r="B15">
        <v>16</v>
      </c>
      <c r="C15" t="s">
        <v>4</v>
      </c>
      <c r="E15">
        <v>1</v>
      </c>
      <c r="F15" t="s">
        <v>878</v>
      </c>
      <c r="G15" t="s">
        <v>885</v>
      </c>
      <c r="H15" t="s">
        <v>889</v>
      </c>
      <c r="P15" t="s">
        <v>952</v>
      </c>
      <c r="Q15" t="s">
        <v>1066</v>
      </c>
    </row>
    <row r="16" spans="1:18">
      <c r="A16" t="s">
        <v>71</v>
      </c>
      <c r="B16">
        <v>17</v>
      </c>
      <c r="C16" t="s">
        <v>4</v>
      </c>
      <c r="E16">
        <v>1</v>
      </c>
      <c r="F16" t="s">
        <v>878</v>
      </c>
      <c r="G16" t="s">
        <v>885</v>
      </c>
      <c r="H16" t="s">
        <v>889</v>
      </c>
      <c r="P16" t="s">
        <v>953</v>
      </c>
      <c r="Q16" t="s">
        <v>1060</v>
      </c>
    </row>
    <row r="17" spans="1:17">
      <c r="A17" t="s">
        <v>798</v>
      </c>
      <c r="B17">
        <v>18</v>
      </c>
      <c r="C17" t="s">
        <v>4</v>
      </c>
      <c r="E17">
        <v>1</v>
      </c>
      <c r="F17" t="s">
        <v>878</v>
      </c>
      <c r="G17" t="s">
        <v>885</v>
      </c>
      <c r="H17" t="s">
        <v>889</v>
      </c>
      <c r="P17" t="s">
        <v>954</v>
      </c>
      <c r="Q17" t="s">
        <v>1060</v>
      </c>
    </row>
    <row r="18" spans="1:17">
      <c r="A18" t="s">
        <v>799</v>
      </c>
      <c r="B18">
        <v>19</v>
      </c>
      <c r="C18" t="s">
        <v>4</v>
      </c>
      <c r="E18">
        <v>1</v>
      </c>
      <c r="F18" t="s">
        <v>878</v>
      </c>
      <c r="G18" t="s">
        <v>885</v>
      </c>
      <c r="H18" t="s">
        <v>889</v>
      </c>
      <c r="P18" t="s">
        <v>955</v>
      </c>
      <c r="Q18" t="s">
        <v>1064</v>
      </c>
    </row>
    <row r="19" spans="1:17">
      <c r="A19" t="s">
        <v>123</v>
      </c>
      <c r="B19">
        <v>20</v>
      </c>
      <c r="C19" t="s">
        <v>4</v>
      </c>
      <c r="E19">
        <v>1</v>
      </c>
      <c r="F19" t="s">
        <v>878</v>
      </c>
      <c r="G19" t="s">
        <v>885</v>
      </c>
      <c r="H19" t="s">
        <v>888</v>
      </c>
      <c r="I19" t="s">
        <v>891</v>
      </c>
      <c r="K19" t="s">
        <v>912</v>
      </c>
      <c r="P19" t="s">
        <v>956</v>
      </c>
      <c r="Q19" t="s">
        <v>1060</v>
      </c>
    </row>
    <row r="20" spans="1:17">
      <c r="A20" t="s">
        <v>800</v>
      </c>
      <c r="B20">
        <v>21</v>
      </c>
      <c r="C20" t="s">
        <v>869</v>
      </c>
      <c r="D20">
        <v>1</v>
      </c>
      <c r="F20" t="s">
        <v>876</v>
      </c>
      <c r="H20" t="s">
        <v>887</v>
      </c>
      <c r="P20" t="s">
        <v>957</v>
      </c>
      <c r="Q20" t="s">
        <v>1060</v>
      </c>
    </row>
    <row r="21" spans="1:17">
      <c r="A21" t="s">
        <v>36</v>
      </c>
      <c r="B21">
        <v>22</v>
      </c>
      <c r="C21" t="s">
        <v>4</v>
      </c>
      <c r="E21">
        <v>1</v>
      </c>
      <c r="F21" t="s">
        <v>878</v>
      </c>
      <c r="G21" t="s">
        <v>885</v>
      </c>
      <c r="H21" t="s">
        <v>889</v>
      </c>
      <c r="P21" t="s">
        <v>958</v>
      </c>
      <c r="Q21" t="s">
        <v>1060</v>
      </c>
    </row>
    <row r="22" spans="1:17">
      <c r="A22" t="s">
        <v>801</v>
      </c>
      <c r="B22">
        <v>23</v>
      </c>
      <c r="C22" t="s">
        <v>869</v>
      </c>
      <c r="D22">
        <v>1</v>
      </c>
      <c r="F22" t="s">
        <v>876</v>
      </c>
      <c r="H22" t="s">
        <v>888</v>
      </c>
      <c r="K22" t="s">
        <v>913</v>
      </c>
      <c r="P22" t="s">
        <v>959</v>
      </c>
      <c r="Q22" t="s">
        <v>1064</v>
      </c>
    </row>
    <row r="23" spans="1:17">
      <c r="A23" t="s">
        <v>802</v>
      </c>
      <c r="B23">
        <v>24</v>
      </c>
      <c r="C23" t="s">
        <v>4</v>
      </c>
      <c r="E23">
        <v>1</v>
      </c>
      <c r="F23" t="s">
        <v>878</v>
      </c>
      <c r="G23" t="s">
        <v>885</v>
      </c>
      <c r="H23" t="s">
        <v>888</v>
      </c>
      <c r="K23" t="s">
        <v>914</v>
      </c>
      <c r="P23" t="s">
        <v>960</v>
      </c>
      <c r="Q23" t="s">
        <v>1060</v>
      </c>
    </row>
    <row r="24" spans="1:17">
      <c r="A24" t="s">
        <v>803</v>
      </c>
      <c r="B24">
        <v>25</v>
      </c>
      <c r="C24" t="s">
        <v>4</v>
      </c>
      <c r="E24">
        <v>1</v>
      </c>
      <c r="F24" t="s">
        <v>878</v>
      </c>
      <c r="G24" t="s">
        <v>885</v>
      </c>
      <c r="H24" t="s">
        <v>889</v>
      </c>
      <c r="P24" t="s">
        <v>961</v>
      </c>
      <c r="Q24" t="s">
        <v>1060</v>
      </c>
    </row>
    <row r="25" spans="1:17">
      <c r="A25" t="s">
        <v>804</v>
      </c>
      <c r="B25">
        <v>26</v>
      </c>
      <c r="C25" t="s">
        <v>869</v>
      </c>
      <c r="D25">
        <v>1</v>
      </c>
      <c r="F25" t="s">
        <v>876</v>
      </c>
      <c r="H25" t="s">
        <v>887</v>
      </c>
      <c r="P25" t="s">
        <v>962</v>
      </c>
      <c r="Q25" t="s">
        <v>1067</v>
      </c>
    </row>
    <row r="26" spans="1:17">
      <c r="A26" t="s">
        <v>197</v>
      </c>
      <c r="B26">
        <v>32</v>
      </c>
      <c r="C26" t="s">
        <v>869</v>
      </c>
      <c r="D26">
        <v>1</v>
      </c>
      <c r="F26" t="s">
        <v>876</v>
      </c>
      <c r="H26" t="s">
        <v>887</v>
      </c>
      <c r="P26" t="s">
        <v>963</v>
      </c>
      <c r="Q26" t="s">
        <v>1068</v>
      </c>
    </row>
    <row r="27" spans="1:17">
      <c r="A27" t="s">
        <v>805</v>
      </c>
      <c r="B27">
        <v>34</v>
      </c>
      <c r="C27" t="s">
        <v>869</v>
      </c>
      <c r="D27">
        <v>1</v>
      </c>
      <c r="F27" t="s">
        <v>876</v>
      </c>
      <c r="P27" t="s">
        <v>964</v>
      </c>
      <c r="Q27" t="s">
        <v>1060</v>
      </c>
    </row>
    <row r="28" spans="1:17">
      <c r="A28" t="s">
        <v>806</v>
      </c>
      <c r="B28">
        <v>36</v>
      </c>
      <c r="C28" t="s">
        <v>4</v>
      </c>
      <c r="E28">
        <v>1</v>
      </c>
      <c r="F28" t="s">
        <v>878</v>
      </c>
      <c r="G28" t="s">
        <v>885</v>
      </c>
      <c r="P28" t="s">
        <v>965</v>
      </c>
      <c r="Q28" t="s">
        <v>1060</v>
      </c>
    </row>
    <row r="29" spans="1:17">
      <c r="A29" t="s">
        <v>807</v>
      </c>
      <c r="B29">
        <v>39</v>
      </c>
      <c r="C29" t="s">
        <v>869</v>
      </c>
      <c r="D29">
        <v>1</v>
      </c>
      <c r="F29" t="s">
        <v>876</v>
      </c>
      <c r="H29" t="s">
        <v>887</v>
      </c>
      <c r="P29" t="s">
        <v>966</v>
      </c>
      <c r="Q29" t="s">
        <v>1060</v>
      </c>
    </row>
    <row r="30" spans="1:17">
      <c r="A30" t="s">
        <v>808</v>
      </c>
      <c r="B30">
        <v>45</v>
      </c>
      <c r="C30" t="s">
        <v>869</v>
      </c>
      <c r="D30">
        <v>1</v>
      </c>
      <c r="F30" t="s">
        <v>876</v>
      </c>
      <c r="H30" t="s">
        <v>888</v>
      </c>
      <c r="K30" t="s">
        <v>915</v>
      </c>
      <c r="P30" t="s">
        <v>967</v>
      </c>
      <c r="Q30" t="s">
        <v>1060</v>
      </c>
    </row>
    <row r="31" spans="1:17">
      <c r="A31" t="s">
        <v>809</v>
      </c>
      <c r="B31">
        <v>48</v>
      </c>
      <c r="C31" t="s">
        <v>869</v>
      </c>
      <c r="D31">
        <v>1</v>
      </c>
      <c r="F31" t="s">
        <v>876</v>
      </c>
      <c r="H31" t="s">
        <v>888</v>
      </c>
      <c r="K31" t="s">
        <v>916</v>
      </c>
      <c r="P31" t="s">
        <v>968</v>
      </c>
      <c r="Q31" t="s">
        <v>1060</v>
      </c>
    </row>
    <row r="32" spans="1:17">
      <c r="A32" t="s">
        <v>148</v>
      </c>
      <c r="B32">
        <v>50</v>
      </c>
      <c r="C32" t="s">
        <v>869</v>
      </c>
      <c r="D32">
        <v>1</v>
      </c>
      <c r="F32" t="s">
        <v>876</v>
      </c>
      <c r="H32" t="s">
        <v>887</v>
      </c>
      <c r="P32" t="s">
        <v>969</v>
      </c>
      <c r="Q32" t="s">
        <v>1060</v>
      </c>
    </row>
    <row r="33" spans="1:17">
      <c r="A33" t="s">
        <v>78</v>
      </c>
      <c r="B33">
        <v>51</v>
      </c>
      <c r="C33" t="s">
        <v>869</v>
      </c>
      <c r="D33">
        <v>1</v>
      </c>
      <c r="F33" t="s">
        <v>876</v>
      </c>
      <c r="H33" t="s">
        <v>887</v>
      </c>
      <c r="P33" t="s">
        <v>970</v>
      </c>
      <c r="Q33" t="s">
        <v>1064</v>
      </c>
    </row>
    <row r="34" spans="1:17">
      <c r="A34" t="s">
        <v>810</v>
      </c>
      <c r="B34">
        <v>52</v>
      </c>
      <c r="C34" t="s">
        <v>869</v>
      </c>
      <c r="D34">
        <v>1</v>
      </c>
      <c r="F34" t="s">
        <v>876</v>
      </c>
      <c r="H34" t="s">
        <v>887</v>
      </c>
      <c r="P34" t="s">
        <v>971</v>
      </c>
      <c r="Q34" t="s">
        <v>1060</v>
      </c>
    </row>
    <row r="35" spans="1:17">
      <c r="A35" t="s">
        <v>208</v>
      </c>
      <c r="B35">
        <v>53</v>
      </c>
      <c r="C35" t="s">
        <v>869</v>
      </c>
      <c r="D35">
        <v>1</v>
      </c>
      <c r="F35" t="s">
        <v>876</v>
      </c>
      <c r="H35" t="s">
        <v>887</v>
      </c>
      <c r="P35" t="s">
        <v>972</v>
      </c>
      <c r="Q35" t="s">
        <v>1060</v>
      </c>
    </row>
    <row r="36" spans="1:17">
      <c r="A36" t="s">
        <v>811</v>
      </c>
      <c r="B36">
        <v>54</v>
      </c>
      <c r="C36" t="s">
        <v>4</v>
      </c>
      <c r="E36">
        <v>1</v>
      </c>
      <c r="F36" t="s">
        <v>878</v>
      </c>
      <c r="G36" t="s">
        <v>885</v>
      </c>
      <c r="H36" t="s">
        <v>890</v>
      </c>
      <c r="P36" t="s">
        <v>973</v>
      </c>
      <c r="Q36" t="s">
        <v>1068</v>
      </c>
    </row>
    <row r="37" spans="1:17">
      <c r="A37" t="s">
        <v>186</v>
      </c>
      <c r="B37">
        <v>55</v>
      </c>
      <c r="C37" t="s">
        <v>869</v>
      </c>
      <c r="D37">
        <v>1</v>
      </c>
      <c r="F37" t="s">
        <v>876</v>
      </c>
      <c r="H37" t="s">
        <v>887</v>
      </c>
      <c r="P37" t="s">
        <v>974</v>
      </c>
      <c r="Q37" t="s">
        <v>1068</v>
      </c>
    </row>
    <row r="38" spans="1:17">
      <c r="A38" t="s">
        <v>165</v>
      </c>
      <c r="B38">
        <v>57</v>
      </c>
      <c r="C38" t="s">
        <v>869</v>
      </c>
      <c r="D38">
        <v>1</v>
      </c>
      <c r="F38" t="s">
        <v>876</v>
      </c>
      <c r="H38" t="s">
        <v>887</v>
      </c>
      <c r="P38" t="s">
        <v>975</v>
      </c>
      <c r="Q38" t="s">
        <v>1067</v>
      </c>
    </row>
    <row r="39" spans="1:17">
      <c r="A39" t="s">
        <v>48</v>
      </c>
      <c r="B39">
        <v>58</v>
      </c>
      <c r="C39" t="s">
        <v>869</v>
      </c>
      <c r="D39">
        <v>1</v>
      </c>
      <c r="F39" t="s">
        <v>876</v>
      </c>
      <c r="H39" t="s">
        <v>887</v>
      </c>
      <c r="P39" t="s">
        <v>976</v>
      </c>
      <c r="Q39" t="s">
        <v>1060</v>
      </c>
    </row>
    <row r="40" spans="1:17">
      <c r="A40" t="s">
        <v>812</v>
      </c>
      <c r="B40">
        <v>59</v>
      </c>
      <c r="C40" t="s">
        <v>869</v>
      </c>
      <c r="D40">
        <v>1</v>
      </c>
      <c r="F40" t="s">
        <v>876</v>
      </c>
      <c r="H40" t="s">
        <v>887</v>
      </c>
      <c r="P40" t="s">
        <v>977</v>
      </c>
      <c r="Q40" t="s">
        <v>1064</v>
      </c>
    </row>
    <row r="41" spans="1:17">
      <c r="A41" t="s">
        <v>184</v>
      </c>
      <c r="B41">
        <v>61</v>
      </c>
      <c r="C41" t="s">
        <v>869</v>
      </c>
      <c r="D41">
        <v>1</v>
      </c>
      <c r="F41" t="s">
        <v>876</v>
      </c>
      <c r="H41" t="s">
        <v>887</v>
      </c>
      <c r="P41" t="s">
        <v>978</v>
      </c>
      <c r="Q41" t="s">
        <v>1060</v>
      </c>
    </row>
    <row r="42" spans="1:17">
      <c r="A42" t="s">
        <v>813</v>
      </c>
      <c r="B42">
        <v>64</v>
      </c>
      <c r="C42" t="s">
        <v>4</v>
      </c>
      <c r="E42">
        <v>1</v>
      </c>
      <c r="F42" t="s">
        <v>878</v>
      </c>
      <c r="G42" t="s">
        <v>885</v>
      </c>
      <c r="H42" t="s">
        <v>888</v>
      </c>
      <c r="L42" t="s">
        <v>931</v>
      </c>
      <c r="P42" t="s">
        <v>979</v>
      </c>
      <c r="Q42" t="s">
        <v>1060</v>
      </c>
    </row>
    <row r="43" spans="1:17">
      <c r="A43" t="s">
        <v>814</v>
      </c>
      <c r="B43">
        <v>64</v>
      </c>
      <c r="C43" t="s">
        <v>870</v>
      </c>
      <c r="D43">
        <v>0</v>
      </c>
      <c r="F43" t="s">
        <v>877</v>
      </c>
      <c r="G43" t="s">
        <v>884</v>
      </c>
      <c r="H43" t="s">
        <v>888</v>
      </c>
      <c r="K43" t="s">
        <v>917</v>
      </c>
      <c r="P43" t="s">
        <v>980</v>
      </c>
      <c r="Q43" t="s">
        <v>1060</v>
      </c>
    </row>
    <row r="44" spans="1:17">
      <c r="A44" t="s">
        <v>815</v>
      </c>
      <c r="B44">
        <v>65</v>
      </c>
      <c r="C44" t="s">
        <v>4</v>
      </c>
      <c r="E44">
        <v>1</v>
      </c>
      <c r="F44" t="s">
        <v>878</v>
      </c>
      <c r="G44" t="s">
        <v>885</v>
      </c>
      <c r="H44" t="s">
        <v>888</v>
      </c>
      <c r="I44" t="s">
        <v>893</v>
      </c>
      <c r="J44" t="s">
        <v>900</v>
      </c>
      <c r="K44" t="s">
        <v>918</v>
      </c>
      <c r="P44" t="s">
        <v>981</v>
      </c>
      <c r="Q44" t="s">
        <v>1060</v>
      </c>
    </row>
    <row r="45" spans="1:17">
      <c r="A45" t="s">
        <v>816</v>
      </c>
      <c r="B45">
        <v>66</v>
      </c>
      <c r="C45" t="s">
        <v>869</v>
      </c>
      <c r="D45">
        <v>1</v>
      </c>
      <c r="F45" t="s">
        <v>876</v>
      </c>
      <c r="H45" t="s">
        <v>888</v>
      </c>
      <c r="K45" t="s">
        <v>914</v>
      </c>
      <c r="P45" t="s">
        <v>982</v>
      </c>
      <c r="Q45" t="s">
        <v>1064</v>
      </c>
    </row>
    <row r="46" spans="1:17">
      <c r="A46" t="s">
        <v>817</v>
      </c>
      <c r="B46">
        <v>67</v>
      </c>
      <c r="C46" t="s">
        <v>4</v>
      </c>
      <c r="E46">
        <v>1</v>
      </c>
      <c r="F46" t="s">
        <v>878</v>
      </c>
      <c r="G46" t="s">
        <v>885</v>
      </c>
      <c r="H46" t="s">
        <v>888</v>
      </c>
      <c r="K46" t="s">
        <v>914</v>
      </c>
      <c r="P46" t="s">
        <v>983</v>
      </c>
      <c r="Q46" t="s">
        <v>1060</v>
      </c>
    </row>
    <row r="47" spans="1:17">
      <c r="A47" t="s">
        <v>818</v>
      </c>
      <c r="B47">
        <v>68</v>
      </c>
      <c r="C47" t="s">
        <v>869</v>
      </c>
      <c r="D47">
        <v>1</v>
      </c>
      <c r="F47" t="s">
        <v>876</v>
      </c>
      <c r="H47" t="s">
        <v>887</v>
      </c>
      <c r="P47" t="s">
        <v>984</v>
      </c>
      <c r="Q47" t="s">
        <v>1060</v>
      </c>
    </row>
    <row r="48" spans="1:17">
      <c r="A48" t="s">
        <v>819</v>
      </c>
      <c r="B48">
        <v>70</v>
      </c>
      <c r="C48" t="s">
        <v>869</v>
      </c>
      <c r="D48">
        <v>1</v>
      </c>
      <c r="F48" t="s">
        <v>876</v>
      </c>
      <c r="H48" t="s">
        <v>888</v>
      </c>
      <c r="K48" t="s">
        <v>914</v>
      </c>
      <c r="P48" t="s">
        <v>985</v>
      </c>
      <c r="Q48" t="s">
        <v>1060</v>
      </c>
    </row>
    <row r="49" spans="1:17">
      <c r="A49" t="s">
        <v>820</v>
      </c>
      <c r="B49">
        <v>71</v>
      </c>
      <c r="C49" t="s">
        <v>869</v>
      </c>
      <c r="D49">
        <v>1</v>
      </c>
      <c r="F49" t="s">
        <v>876</v>
      </c>
      <c r="H49" t="s">
        <v>888</v>
      </c>
      <c r="K49" t="s">
        <v>915</v>
      </c>
      <c r="P49" t="s">
        <v>986</v>
      </c>
      <c r="Q49" t="s">
        <v>1064</v>
      </c>
    </row>
    <row r="50" spans="1:17">
      <c r="A50" t="s">
        <v>64</v>
      </c>
      <c r="B50">
        <v>72</v>
      </c>
      <c r="C50" t="s">
        <v>4</v>
      </c>
      <c r="E50">
        <v>1</v>
      </c>
      <c r="F50" t="s">
        <v>878</v>
      </c>
      <c r="G50" t="s">
        <v>885</v>
      </c>
      <c r="H50" t="s">
        <v>888</v>
      </c>
      <c r="K50" t="s">
        <v>919</v>
      </c>
      <c r="P50" t="s">
        <v>987</v>
      </c>
      <c r="Q50" t="s">
        <v>1060</v>
      </c>
    </row>
    <row r="51" spans="1:17">
      <c r="A51" t="s">
        <v>821</v>
      </c>
      <c r="B51">
        <v>73</v>
      </c>
      <c r="C51" t="s">
        <v>869</v>
      </c>
      <c r="D51">
        <v>1</v>
      </c>
      <c r="F51" t="s">
        <v>876</v>
      </c>
      <c r="H51" t="s">
        <v>887</v>
      </c>
      <c r="P51" t="s">
        <v>988</v>
      </c>
      <c r="Q51" t="s">
        <v>1060</v>
      </c>
    </row>
    <row r="52" spans="1:17">
      <c r="A52" t="s">
        <v>822</v>
      </c>
      <c r="B52">
        <v>75</v>
      </c>
      <c r="C52" t="s">
        <v>869</v>
      </c>
      <c r="D52">
        <v>1</v>
      </c>
      <c r="F52" t="s">
        <v>876</v>
      </c>
      <c r="H52" t="s">
        <v>888</v>
      </c>
      <c r="I52" t="s">
        <v>894</v>
      </c>
      <c r="J52" t="s">
        <v>901</v>
      </c>
      <c r="K52" t="s">
        <v>909</v>
      </c>
      <c r="P52" t="s">
        <v>989</v>
      </c>
      <c r="Q52" t="s">
        <v>1060</v>
      </c>
    </row>
    <row r="53" spans="1:17">
      <c r="A53" t="s">
        <v>823</v>
      </c>
      <c r="B53">
        <v>76</v>
      </c>
      <c r="C53" t="s">
        <v>4</v>
      </c>
      <c r="E53">
        <v>1</v>
      </c>
      <c r="F53" t="s">
        <v>878</v>
      </c>
      <c r="G53" t="s">
        <v>885</v>
      </c>
      <c r="H53" t="s">
        <v>888</v>
      </c>
      <c r="I53" t="s">
        <v>895</v>
      </c>
      <c r="J53" t="s">
        <v>902</v>
      </c>
      <c r="K53" t="s">
        <v>920</v>
      </c>
      <c r="P53" t="s">
        <v>990</v>
      </c>
      <c r="Q53" t="s">
        <v>1060</v>
      </c>
    </row>
    <row r="54" spans="1:17">
      <c r="A54" t="s">
        <v>824</v>
      </c>
      <c r="B54">
        <v>77</v>
      </c>
      <c r="C54" t="s">
        <v>869</v>
      </c>
      <c r="D54">
        <v>1</v>
      </c>
      <c r="F54" t="s">
        <v>876</v>
      </c>
      <c r="H54" t="s">
        <v>888</v>
      </c>
      <c r="I54" t="s">
        <v>891</v>
      </c>
      <c r="K54" t="s">
        <v>914</v>
      </c>
      <c r="P54" t="s">
        <v>991</v>
      </c>
      <c r="Q54" t="s">
        <v>1060</v>
      </c>
    </row>
    <row r="55" spans="1:17">
      <c r="A55" t="s">
        <v>825</v>
      </c>
      <c r="B55">
        <v>78</v>
      </c>
      <c r="C55" t="s">
        <v>869</v>
      </c>
      <c r="D55">
        <v>1</v>
      </c>
      <c r="F55" t="s">
        <v>876</v>
      </c>
      <c r="H55" t="s">
        <v>887</v>
      </c>
      <c r="P55" t="s">
        <v>992</v>
      </c>
      <c r="Q55" t="s">
        <v>1064</v>
      </c>
    </row>
    <row r="56" spans="1:17">
      <c r="A56" t="s">
        <v>826</v>
      </c>
      <c r="B56">
        <v>79</v>
      </c>
      <c r="C56" t="s">
        <v>869</v>
      </c>
      <c r="D56">
        <v>1</v>
      </c>
      <c r="F56" t="s">
        <v>876</v>
      </c>
      <c r="H56" t="s">
        <v>887</v>
      </c>
      <c r="P56" t="s">
        <v>993</v>
      </c>
      <c r="Q56" t="s">
        <v>1060</v>
      </c>
    </row>
    <row r="57" spans="1:17">
      <c r="A57" t="s">
        <v>827</v>
      </c>
      <c r="B57">
        <v>80</v>
      </c>
      <c r="C57" t="s">
        <v>869</v>
      </c>
      <c r="D57">
        <v>1</v>
      </c>
      <c r="F57" t="s">
        <v>876</v>
      </c>
      <c r="H57" t="s">
        <v>888</v>
      </c>
      <c r="I57" t="s">
        <v>891</v>
      </c>
      <c r="K57" t="s">
        <v>921</v>
      </c>
      <c r="P57" t="s">
        <v>994</v>
      </c>
      <c r="Q57" t="s">
        <v>1060</v>
      </c>
    </row>
    <row r="58" spans="1:17">
      <c r="A58" t="s">
        <v>828</v>
      </c>
      <c r="B58">
        <v>81</v>
      </c>
      <c r="C58" t="s">
        <v>4</v>
      </c>
      <c r="E58">
        <v>1</v>
      </c>
      <c r="F58" t="s">
        <v>878</v>
      </c>
      <c r="G58" t="s">
        <v>885</v>
      </c>
      <c r="H58" t="s">
        <v>888</v>
      </c>
      <c r="I58" t="s">
        <v>891</v>
      </c>
      <c r="K58" t="s">
        <v>922</v>
      </c>
      <c r="P58" t="s">
        <v>995</v>
      </c>
      <c r="Q58" t="s">
        <v>1060</v>
      </c>
    </row>
    <row r="59" spans="1:17">
      <c r="A59" t="s">
        <v>829</v>
      </c>
      <c r="B59">
        <v>82</v>
      </c>
      <c r="C59" t="s">
        <v>4</v>
      </c>
      <c r="E59">
        <v>1</v>
      </c>
      <c r="F59" t="s">
        <v>878</v>
      </c>
      <c r="G59" t="s">
        <v>885</v>
      </c>
      <c r="H59" t="s">
        <v>888</v>
      </c>
      <c r="I59" t="s">
        <v>896</v>
      </c>
      <c r="J59" t="s">
        <v>903</v>
      </c>
      <c r="K59" t="s">
        <v>923</v>
      </c>
      <c r="P59" t="s">
        <v>996</v>
      </c>
      <c r="Q59" t="s">
        <v>1060</v>
      </c>
    </row>
    <row r="60" spans="1:17">
      <c r="A60" t="s">
        <v>42</v>
      </c>
      <c r="B60">
        <v>83</v>
      </c>
      <c r="C60" t="s">
        <v>869</v>
      </c>
      <c r="D60">
        <v>1</v>
      </c>
      <c r="F60" t="s">
        <v>876</v>
      </c>
      <c r="H60" t="s">
        <v>888</v>
      </c>
      <c r="I60" t="s">
        <v>891</v>
      </c>
      <c r="K60" t="s">
        <v>915</v>
      </c>
      <c r="P60" t="s">
        <v>997</v>
      </c>
      <c r="Q60" t="s">
        <v>1060</v>
      </c>
    </row>
    <row r="61" spans="1:17">
      <c r="A61" t="s">
        <v>830</v>
      </c>
      <c r="B61">
        <v>84</v>
      </c>
      <c r="C61" t="s">
        <v>869</v>
      </c>
      <c r="D61">
        <v>1</v>
      </c>
      <c r="F61" t="s">
        <v>876</v>
      </c>
      <c r="H61" t="s">
        <v>887</v>
      </c>
      <c r="P61" t="s">
        <v>998</v>
      </c>
      <c r="Q61" t="s">
        <v>1064</v>
      </c>
    </row>
    <row r="62" spans="1:17">
      <c r="A62" t="s">
        <v>831</v>
      </c>
      <c r="B62">
        <v>85</v>
      </c>
      <c r="C62" t="s">
        <v>869</v>
      </c>
      <c r="D62">
        <v>1</v>
      </c>
      <c r="F62" t="s">
        <v>876</v>
      </c>
      <c r="H62" t="s">
        <v>887</v>
      </c>
      <c r="P62" t="s">
        <v>999</v>
      </c>
      <c r="Q62" t="s">
        <v>1060</v>
      </c>
    </row>
    <row r="63" spans="1:17">
      <c r="A63" t="s">
        <v>191</v>
      </c>
      <c r="B63">
        <v>86</v>
      </c>
      <c r="C63" t="s">
        <v>4</v>
      </c>
      <c r="E63">
        <v>1</v>
      </c>
      <c r="F63" t="s">
        <v>878</v>
      </c>
      <c r="G63" t="s">
        <v>885</v>
      </c>
      <c r="H63" t="s">
        <v>888</v>
      </c>
      <c r="P63" t="s">
        <v>1000</v>
      </c>
      <c r="Q63" t="s">
        <v>1060</v>
      </c>
    </row>
    <row r="64" spans="1:17">
      <c r="A64" t="s">
        <v>188</v>
      </c>
      <c r="B64">
        <v>87</v>
      </c>
      <c r="C64" t="s">
        <v>870</v>
      </c>
      <c r="D64">
        <v>0</v>
      </c>
      <c r="F64" t="s">
        <v>879</v>
      </c>
      <c r="H64" t="s">
        <v>888</v>
      </c>
      <c r="J64" t="s">
        <v>904</v>
      </c>
      <c r="K64" t="s">
        <v>924</v>
      </c>
      <c r="L64" t="s">
        <v>931</v>
      </c>
      <c r="P64" t="s">
        <v>1001</v>
      </c>
      <c r="Q64" t="s">
        <v>1060</v>
      </c>
    </row>
    <row r="65" spans="1:17">
      <c r="A65" t="s">
        <v>189</v>
      </c>
      <c r="B65">
        <v>88</v>
      </c>
      <c r="C65" t="s">
        <v>4</v>
      </c>
      <c r="E65">
        <v>1</v>
      </c>
      <c r="F65" t="s">
        <v>878</v>
      </c>
      <c r="G65" t="s">
        <v>885</v>
      </c>
      <c r="H65" t="s">
        <v>888</v>
      </c>
      <c r="J65" t="s">
        <v>905</v>
      </c>
      <c r="K65" t="s">
        <v>924</v>
      </c>
      <c r="P65" t="s">
        <v>1002</v>
      </c>
      <c r="Q65" t="s">
        <v>1060</v>
      </c>
    </row>
    <row r="66" spans="1:17">
      <c r="A66" t="s">
        <v>832</v>
      </c>
      <c r="B66">
        <v>89</v>
      </c>
      <c r="C66" t="s">
        <v>4</v>
      </c>
      <c r="E66">
        <v>1</v>
      </c>
      <c r="F66" t="s">
        <v>878</v>
      </c>
      <c r="H66" t="s">
        <v>888</v>
      </c>
      <c r="K66" t="s">
        <v>915</v>
      </c>
      <c r="P66" t="s">
        <v>1003</v>
      </c>
      <c r="Q66" t="s">
        <v>1060</v>
      </c>
    </row>
    <row r="67" spans="1:17">
      <c r="A67" t="s">
        <v>833</v>
      </c>
      <c r="B67">
        <v>90</v>
      </c>
      <c r="C67" t="s">
        <v>869</v>
      </c>
      <c r="D67">
        <v>1</v>
      </c>
      <c r="F67" t="s">
        <v>876</v>
      </c>
      <c r="H67" t="s">
        <v>888</v>
      </c>
      <c r="K67" t="s">
        <v>915</v>
      </c>
      <c r="P67" t="s">
        <v>1004</v>
      </c>
      <c r="Q67" t="s">
        <v>1060</v>
      </c>
    </row>
    <row r="68" spans="1:17">
      <c r="A68" t="s">
        <v>834</v>
      </c>
      <c r="B68">
        <v>91</v>
      </c>
      <c r="C68" t="s">
        <v>869</v>
      </c>
      <c r="D68">
        <v>1</v>
      </c>
      <c r="F68" t="s">
        <v>876</v>
      </c>
      <c r="H68" t="s">
        <v>888</v>
      </c>
      <c r="K68" t="s">
        <v>915</v>
      </c>
      <c r="P68" t="s">
        <v>1005</v>
      </c>
      <c r="Q68" t="s">
        <v>1060</v>
      </c>
    </row>
    <row r="69" spans="1:17">
      <c r="A69" t="s">
        <v>835</v>
      </c>
      <c r="B69">
        <v>93</v>
      </c>
      <c r="C69" t="s">
        <v>869</v>
      </c>
      <c r="D69">
        <v>1</v>
      </c>
      <c r="F69" t="s">
        <v>876</v>
      </c>
      <c r="H69" t="s">
        <v>887</v>
      </c>
      <c r="P69" t="s">
        <v>1006</v>
      </c>
      <c r="Q69" t="s">
        <v>1067</v>
      </c>
    </row>
    <row r="70" spans="1:17">
      <c r="A70" t="s">
        <v>192</v>
      </c>
      <c r="B70">
        <v>94</v>
      </c>
      <c r="C70" t="s">
        <v>871</v>
      </c>
      <c r="D70">
        <v>1</v>
      </c>
      <c r="F70" t="s">
        <v>876</v>
      </c>
      <c r="G70" t="s">
        <v>886</v>
      </c>
      <c r="H70" t="s">
        <v>887</v>
      </c>
      <c r="M70" t="s">
        <v>936</v>
      </c>
      <c r="P70" t="s">
        <v>1007</v>
      </c>
      <c r="Q70" t="s">
        <v>1060</v>
      </c>
    </row>
    <row r="71" spans="1:17">
      <c r="A71" t="s">
        <v>190</v>
      </c>
      <c r="B71">
        <v>95</v>
      </c>
      <c r="C71" t="s">
        <v>4</v>
      </c>
      <c r="F71" t="s">
        <v>880</v>
      </c>
      <c r="H71" t="s">
        <v>888</v>
      </c>
      <c r="I71" t="s">
        <v>897</v>
      </c>
      <c r="K71" t="s">
        <v>925</v>
      </c>
      <c r="L71" t="s">
        <v>932</v>
      </c>
      <c r="P71" t="s">
        <v>1008</v>
      </c>
      <c r="Q71" t="s">
        <v>1064</v>
      </c>
    </row>
    <row r="72" spans="1:17">
      <c r="A72" t="s">
        <v>836</v>
      </c>
      <c r="B72">
        <v>96</v>
      </c>
      <c r="C72" t="s">
        <v>4</v>
      </c>
      <c r="E72">
        <v>1</v>
      </c>
      <c r="F72" t="s">
        <v>878</v>
      </c>
      <c r="G72" t="s">
        <v>885</v>
      </c>
      <c r="H72" t="s">
        <v>888</v>
      </c>
      <c r="P72" t="s">
        <v>1009</v>
      </c>
      <c r="Q72" t="s">
        <v>1060</v>
      </c>
    </row>
    <row r="73" spans="1:17">
      <c r="A73" t="s">
        <v>837</v>
      </c>
      <c r="B73">
        <v>98</v>
      </c>
      <c r="C73" t="s">
        <v>869</v>
      </c>
      <c r="D73">
        <v>1</v>
      </c>
      <c r="F73" t="s">
        <v>876</v>
      </c>
      <c r="H73" t="s">
        <v>888</v>
      </c>
      <c r="P73" t="s">
        <v>1010</v>
      </c>
      <c r="Q73" t="s">
        <v>1064</v>
      </c>
    </row>
    <row r="74" spans="1:17">
      <c r="A74" t="s">
        <v>838</v>
      </c>
      <c r="B74">
        <v>99</v>
      </c>
      <c r="C74" t="s">
        <v>869</v>
      </c>
      <c r="D74">
        <v>1</v>
      </c>
      <c r="F74" t="s">
        <v>876</v>
      </c>
      <c r="H74" t="s">
        <v>887</v>
      </c>
      <c r="P74" t="s">
        <v>1011</v>
      </c>
      <c r="Q74" t="s">
        <v>1060</v>
      </c>
    </row>
    <row r="75" spans="1:17">
      <c r="A75" t="s">
        <v>839</v>
      </c>
      <c r="B75">
        <v>100</v>
      </c>
      <c r="C75" t="s">
        <v>870</v>
      </c>
      <c r="F75" t="s">
        <v>877</v>
      </c>
      <c r="G75" t="s">
        <v>885</v>
      </c>
      <c r="L75" t="s">
        <v>933</v>
      </c>
      <c r="P75" t="s">
        <v>1012</v>
      </c>
      <c r="Q75" t="s">
        <v>1060</v>
      </c>
    </row>
    <row r="76" spans="1:17">
      <c r="A76" t="s">
        <v>840</v>
      </c>
      <c r="B76">
        <v>101</v>
      </c>
      <c r="C76" t="s">
        <v>870</v>
      </c>
      <c r="D76">
        <v>0</v>
      </c>
      <c r="F76" t="s">
        <v>877</v>
      </c>
      <c r="G76" t="s">
        <v>884</v>
      </c>
      <c r="P76" t="s">
        <v>1013</v>
      </c>
      <c r="Q76" t="s">
        <v>1060</v>
      </c>
    </row>
    <row r="77" spans="1:17">
      <c r="A77" t="s">
        <v>178</v>
      </c>
      <c r="B77">
        <v>101</v>
      </c>
      <c r="C77" t="s">
        <v>870</v>
      </c>
      <c r="D77">
        <v>0</v>
      </c>
      <c r="F77" t="s">
        <v>877</v>
      </c>
      <c r="G77" t="s">
        <v>884</v>
      </c>
      <c r="P77" t="s">
        <v>1014</v>
      </c>
      <c r="Q77" t="s">
        <v>1060</v>
      </c>
    </row>
    <row r="78" spans="1:17">
      <c r="A78" t="s">
        <v>226</v>
      </c>
      <c r="B78">
        <v>102</v>
      </c>
      <c r="C78" t="s">
        <v>4</v>
      </c>
      <c r="E78">
        <v>1</v>
      </c>
      <c r="F78" t="s">
        <v>878</v>
      </c>
      <c r="G78" t="s">
        <v>885</v>
      </c>
      <c r="H78" t="s">
        <v>888</v>
      </c>
      <c r="J78" t="s">
        <v>906</v>
      </c>
      <c r="K78" t="s">
        <v>926</v>
      </c>
      <c r="P78" t="s">
        <v>1015</v>
      </c>
      <c r="Q78" t="s">
        <v>1064</v>
      </c>
    </row>
    <row r="79" spans="1:17">
      <c r="A79" t="s">
        <v>841</v>
      </c>
      <c r="B79">
        <v>103</v>
      </c>
      <c r="C79" t="s">
        <v>4</v>
      </c>
      <c r="E79">
        <v>1</v>
      </c>
      <c r="F79" t="s">
        <v>878</v>
      </c>
      <c r="G79" t="s">
        <v>885</v>
      </c>
      <c r="H79" t="s">
        <v>888</v>
      </c>
      <c r="P79" t="s">
        <v>1016</v>
      </c>
      <c r="Q79" t="s">
        <v>1060</v>
      </c>
    </row>
    <row r="80" spans="1:17">
      <c r="A80" t="s">
        <v>57</v>
      </c>
      <c r="B80">
        <v>104</v>
      </c>
      <c r="C80" t="s">
        <v>869</v>
      </c>
      <c r="D80">
        <v>1</v>
      </c>
      <c r="F80" t="s">
        <v>876</v>
      </c>
      <c r="H80" t="s">
        <v>887</v>
      </c>
      <c r="P80" t="s">
        <v>1017</v>
      </c>
      <c r="Q80" t="s">
        <v>1060</v>
      </c>
    </row>
    <row r="81" spans="1:17">
      <c r="A81" t="s">
        <v>842</v>
      </c>
      <c r="B81">
        <v>105</v>
      </c>
      <c r="C81" t="s">
        <v>869</v>
      </c>
      <c r="D81">
        <v>1</v>
      </c>
      <c r="F81" t="s">
        <v>876</v>
      </c>
      <c r="H81" t="s">
        <v>887</v>
      </c>
      <c r="P81" t="s">
        <v>1018</v>
      </c>
      <c r="Q81" t="s">
        <v>1060</v>
      </c>
    </row>
    <row r="82" spans="1:17">
      <c r="A82" t="s">
        <v>843</v>
      </c>
      <c r="B82">
        <v>107</v>
      </c>
      <c r="C82" t="s">
        <v>4</v>
      </c>
      <c r="E82">
        <v>1</v>
      </c>
      <c r="F82" t="s">
        <v>878</v>
      </c>
      <c r="G82" t="s">
        <v>885</v>
      </c>
      <c r="H82" t="s">
        <v>888</v>
      </c>
      <c r="P82" t="s">
        <v>1019</v>
      </c>
      <c r="Q82" t="s">
        <v>1064</v>
      </c>
    </row>
    <row r="83" spans="1:17">
      <c r="A83" t="s">
        <v>844</v>
      </c>
      <c r="B83">
        <v>108</v>
      </c>
      <c r="C83" t="s">
        <v>4</v>
      </c>
      <c r="E83">
        <v>1</v>
      </c>
      <c r="F83" t="s">
        <v>878</v>
      </c>
      <c r="G83" t="s">
        <v>885</v>
      </c>
      <c r="H83" t="s">
        <v>888</v>
      </c>
      <c r="I83" t="s">
        <v>898</v>
      </c>
      <c r="J83" t="s">
        <v>907</v>
      </c>
      <c r="K83" t="s">
        <v>927</v>
      </c>
      <c r="P83" t="s">
        <v>1020</v>
      </c>
      <c r="Q83" t="s">
        <v>1060</v>
      </c>
    </row>
    <row r="84" spans="1:17">
      <c r="A84" t="s">
        <v>845</v>
      </c>
      <c r="B84">
        <v>109</v>
      </c>
      <c r="C84" t="s">
        <v>4</v>
      </c>
      <c r="E84">
        <v>1</v>
      </c>
      <c r="F84" t="s">
        <v>878</v>
      </c>
      <c r="G84" t="s">
        <v>885</v>
      </c>
      <c r="H84" t="s">
        <v>888</v>
      </c>
      <c r="J84" t="s">
        <v>891</v>
      </c>
      <c r="K84" t="s">
        <v>927</v>
      </c>
      <c r="P84" t="s">
        <v>1021</v>
      </c>
      <c r="Q84" t="s">
        <v>1064</v>
      </c>
    </row>
    <row r="85" spans="1:17">
      <c r="A85" t="s">
        <v>846</v>
      </c>
      <c r="B85">
        <v>110</v>
      </c>
      <c r="C85" t="s">
        <v>4</v>
      </c>
      <c r="E85">
        <v>1</v>
      </c>
      <c r="F85" t="s">
        <v>878</v>
      </c>
      <c r="G85" t="s">
        <v>885</v>
      </c>
      <c r="H85" t="s">
        <v>887</v>
      </c>
      <c r="P85" t="s">
        <v>1022</v>
      </c>
      <c r="Q85" t="s">
        <v>1060</v>
      </c>
    </row>
    <row r="86" spans="1:17">
      <c r="A86" t="s">
        <v>847</v>
      </c>
      <c r="B86">
        <v>111</v>
      </c>
      <c r="C86" t="s">
        <v>869</v>
      </c>
      <c r="D86">
        <v>1</v>
      </c>
      <c r="F86" t="s">
        <v>876</v>
      </c>
      <c r="H86" t="s">
        <v>887</v>
      </c>
      <c r="P86" t="s">
        <v>1023</v>
      </c>
      <c r="Q86" t="s">
        <v>1060</v>
      </c>
    </row>
    <row r="87" spans="1:17">
      <c r="A87" t="s">
        <v>848</v>
      </c>
      <c r="B87">
        <v>112</v>
      </c>
      <c r="C87" t="s">
        <v>869</v>
      </c>
      <c r="D87">
        <v>1</v>
      </c>
      <c r="F87" t="s">
        <v>876</v>
      </c>
      <c r="H87" t="s">
        <v>887</v>
      </c>
      <c r="P87" t="s">
        <v>1024</v>
      </c>
      <c r="Q87" t="s">
        <v>1060</v>
      </c>
    </row>
    <row r="88" spans="1:17">
      <c r="A88" t="s">
        <v>187</v>
      </c>
      <c r="B88">
        <v>113</v>
      </c>
      <c r="C88" t="s">
        <v>869</v>
      </c>
      <c r="D88">
        <v>1</v>
      </c>
      <c r="F88" t="s">
        <v>876</v>
      </c>
      <c r="P88" t="s">
        <v>1025</v>
      </c>
      <c r="Q88" t="s">
        <v>1064</v>
      </c>
    </row>
    <row r="89" spans="1:17">
      <c r="A89" t="s">
        <v>849</v>
      </c>
      <c r="B89">
        <v>114</v>
      </c>
      <c r="C89" t="s">
        <v>869</v>
      </c>
      <c r="D89">
        <v>1</v>
      </c>
      <c r="F89" t="s">
        <v>876</v>
      </c>
      <c r="P89" t="s">
        <v>1026</v>
      </c>
      <c r="Q89" t="s">
        <v>1060</v>
      </c>
    </row>
    <row r="90" spans="1:17">
      <c r="A90" t="s">
        <v>850</v>
      </c>
      <c r="B90">
        <v>115</v>
      </c>
      <c r="C90" t="s">
        <v>869</v>
      </c>
      <c r="D90">
        <v>1</v>
      </c>
      <c r="F90" t="s">
        <v>876</v>
      </c>
      <c r="P90" t="s">
        <v>1027</v>
      </c>
      <c r="Q90" t="s">
        <v>1060</v>
      </c>
    </row>
    <row r="91" spans="1:17">
      <c r="A91" t="s">
        <v>851</v>
      </c>
      <c r="B91">
        <v>116</v>
      </c>
      <c r="C91" t="s">
        <v>869</v>
      </c>
      <c r="D91">
        <v>1</v>
      </c>
      <c r="F91" t="s">
        <v>876</v>
      </c>
      <c r="P91" t="s">
        <v>1028</v>
      </c>
      <c r="Q91" t="s">
        <v>1060</v>
      </c>
    </row>
    <row r="92" spans="1:17">
      <c r="A92" t="s">
        <v>852</v>
      </c>
      <c r="B92">
        <v>117</v>
      </c>
      <c r="C92" t="s">
        <v>869</v>
      </c>
      <c r="D92">
        <v>1</v>
      </c>
      <c r="F92" t="s">
        <v>876</v>
      </c>
      <c r="P92" t="s">
        <v>1029</v>
      </c>
      <c r="Q92" t="s">
        <v>1064</v>
      </c>
    </row>
    <row r="93" spans="1:17">
      <c r="A93" t="s">
        <v>98</v>
      </c>
      <c r="B93">
        <v>118</v>
      </c>
      <c r="C93" t="s">
        <v>869</v>
      </c>
      <c r="D93">
        <v>1</v>
      </c>
      <c r="F93" t="s">
        <v>876</v>
      </c>
      <c r="P93" t="s">
        <v>1030</v>
      </c>
      <c r="Q93" t="s">
        <v>1060</v>
      </c>
    </row>
    <row r="94" spans="1:17">
      <c r="A94" t="s">
        <v>100</v>
      </c>
      <c r="B94">
        <v>119</v>
      </c>
      <c r="C94" t="s">
        <v>4</v>
      </c>
      <c r="E94">
        <v>1</v>
      </c>
      <c r="F94" t="s">
        <v>878</v>
      </c>
      <c r="G94" t="s">
        <v>885</v>
      </c>
      <c r="H94" t="s">
        <v>888</v>
      </c>
      <c r="K94" t="s">
        <v>928</v>
      </c>
      <c r="P94" t="s">
        <v>1031</v>
      </c>
      <c r="Q94" t="s">
        <v>1060</v>
      </c>
    </row>
    <row r="95" spans="1:17">
      <c r="A95" t="s">
        <v>853</v>
      </c>
      <c r="B95">
        <v>120</v>
      </c>
      <c r="C95" t="s">
        <v>869</v>
      </c>
      <c r="D95">
        <v>1</v>
      </c>
      <c r="F95" t="s">
        <v>876</v>
      </c>
      <c r="H95" t="s">
        <v>888</v>
      </c>
      <c r="J95" t="s">
        <v>891</v>
      </c>
      <c r="K95" t="s">
        <v>928</v>
      </c>
      <c r="P95" t="s">
        <v>1032</v>
      </c>
      <c r="Q95" t="s">
        <v>1064</v>
      </c>
    </row>
    <row r="96" spans="1:17">
      <c r="A96" t="s">
        <v>854</v>
      </c>
      <c r="B96">
        <v>121</v>
      </c>
      <c r="C96" t="s">
        <v>4</v>
      </c>
      <c r="E96">
        <v>1</v>
      </c>
      <c r="F96" t="s">
        <v>878</v>
      </c>
      <c r="G96" t="s">
        <v>885</v>
      </c>
      <c r="H96" t="s">
        <v>888</v>
      </c>
      <c r="K96" t="s">
        <v>928</v>
      </c>
      <c r="P96" t="s">
        <v>1033</v>
      </c>
      <c r="Q96" t="s">
        <v>1060</v>
      </c>
    </row>
    <row r="97" spans="1:17">
      <c r="A97" t="s">
        <v>855</v>
      </c>
      <c r="B97">
        <v>122</v>
      </c>
      <c r="C97" t="s">
        <v>869</v>
      </c>
      <c r="D97">
        <v>1</v>
      </c>
      <c r="F97" t="s">
        <v>876</v>
      </c>
      <c r="P97" t="s">
        <v>1034</v>
      </c>
      <c r="Q97" t="s">
        <v>1060</v>
      </c>
    </row>
    <row r="98" spans="1:17">
      <c r="A98" t="s">
        <v>856</v>
      </c>
      <c r="B98">
        <v>124</v>
      </c>
      <c r="C98" t="s">
        <v>872</v>
      </c>
      <c r="E98">
        <v>1</v>
      </c>
      <c r="F98" t="s">
        <v>881</v>
      </c>
      <c r="P98" t="s">
        <v>1035</v>
      </c>
      <c r="Q98" t="s">
        <v>1064</v>
      </c>
    </row>
    <row r="99" spans="1:17">
      <c r="A99" t="s">
        <v>857</v>
      </c>
      <c r="B99">
        <v>125</v>
      </c>
      <c r="C99" t="s">
        <v>869</v>
      </c>
      <c r="D99">
        <v>1</v>
      </c>
      <c r="F99" t="s">
        <v>876</v>
      </c>
      <c r="P99" t="s">
        <v>1036</v>
      </c>
      <c r="Q99" t="s">
        <v>1060</v>
      </c>
    </row>
    <row r="100" spans="1:17">
      <c r="A100" t="s">
        <v>858</v>
      </c>
      <c r="B100">
        <v>126</v>
      </c>
      <c r="C100" t="s">
        <v>869</v>
      </c>
      <c r="D100">
        <v>1</v>
      </c>
      <c r="F100" t="s">
        <v>876</v>
      </c>
      <c r="K100" t="s">
        <v>929</v>
      </c>
      <c r="P100" t="s">
        <v>1037</v>
      </c>
      <c r="Q100" t="s">
        <v>1060</v>
      </c>
    </row>
    <row r="101" spans="1:17">
      <c r="A101" t="s">
        <v>60</v>
      </c>
      <c r="B101">
        <v>127</v>
      </c>
      <c r="C101" t="s">
        <v>873</v>
      </c>
      <c r="F101" t="s">
        <v>882</v>
      </c>
      <c r="L101" t="s">
        <v>934</v>
      </c>
      <c r="P101" t="s">
        <v>1038</v>
      </c>
      <c r="Q101" t="s">
        <v>1060</v>
      </c>
    </row>
    <row r="102" spans="1:17">
      <c r="A102" t="s">
        <v>859</v>
      </c>
      <c r="B102">
        <v>128</v>
      </c>
      <c r="C102" t="s">
        <v>869</v>
      </c>
      <c r="D102">
        <v>1</v>
      </c>
      <c r="F102" t="s">
        <v>876</v>
      </c>
      <c r="P102" t="s">
        <v>1039</v>
      </c>
      <c r="Q102" t="s">
        <v>1060</v>
      </c>
    </row>
    <row r="103" spans="1:17">
      <c r="A103" t="s">
        <v>68</v>
      </c>
      <c r="B103">
        <v>129</v>
      </c>
      <c r="C103" t="s">
        <v>873</v>
      </c>
      <c r="F103" t="s">
        <v>882</v>
      </c>
      <c r="P103" t="s">
        <v>1040</v>
      </c>
      <c r="Q103" t="s">
        <v>1064</v>
      </c>
    </row>
    <row r="104" spans="1:17">
      <c r="A104" t="s">
        <v>860</v>
      </c>
      <c r="B104">
        <v>130</v>
      </c>
      <c r="C104" t="s">
        <v>869</v>
      </c>
      <c r="D104">
        <v>1</v>
      </c>
      <c r="F104" t="s">
        <v>876</v>
      </c>
      <c r="P104" t="s">
        <v>1041</v>
      </c>
      <c r="Q104" t="s">
        <v>1060</v>
      </c>
    </row>
    <row r="105" spans="1:17">
      <c r="A105" t="s">
        <v>176</v>
      </c>
      <c r="B105">
        <v>131</v>
      </c>
      <c r="C105" t="s">
        <v>869</v>
      </c>
      <c r="D105">
        <v>1</v>
      </c>
      <c r="F105" t="s">
        <v>876</v>
      </c>
      <c r="P105" t="s">
        <v>1042</v>
      </c>
      <c r="Q105" t="s">
        <v>1060</v>
      </c>
    </row>
    <row r="106" spans="1:17">
      <c r="A106" t="s">
        <v>39</v>
      </c>
      <c r="B106">
        <v>132</v>
      </c>
      <c r="C106" t="s">
        <v>869</v>
      </c>
      <c r="D106">
        <v>1</v>
      </c>
      <c r="F106" t="s">
        <v>876</v>
      </c>
      <c r="L106" t="s">
        <v>935</v>
      </c>
      <c r="P106" t="s">
        <v>1043</v>
      </c>
      <c r="Q106" t="s">
        <v>1060</v>
      </c>
    </row>
    <row r="107" spans="1:17">
      <c r="A107" t="s">
        <v>861</v>
      </c>
      <c r="B107">
        <v>133</v>
      </c>
      <c r="C107" t="s">
        <v>869</v>
      </c>
      <c r="D107">
        <v>1</v>
      </c>
      <c r="F107" t="s">
        <v>876</v>
      </c>
      <c r="P107" t="s">
        <v>1044</v>
      </c>
      <c r="Q107" t="s">
        <v>1064</v>
      </c>
    </row>
    <row r="108" spans="1:17">
      <c r="A108" t="s">
        <v>231</v>
      </c>
      <c r="B108">
        <v>134</v>
      </c>
      <c r="C108" t="s">
        <v>869</v>
      </c>
      <c r="D108">
        <v>1</v>
      </c>
      <c r="F108" t="s">
        <v>876</v>
      </c>
      <c r="P108" t="s">
        <v>1045</v>
      </c>
      <c r="Q108" t="s">
        <v>1060</v>
      </c>
    </row>
    <row r="109" spans="1:17">
      <c r="A109" t="s">
        <v>146</v>
      </c>
      <c r="B109">
        <v>135</v>
      </c>
      <c r="C109" t="s">
        <v>869</v>
      </c>
      <c r="D109">
        <v>1</v>
      </c>
      <c r="F109" t="s">
        <v>876</v>
      </c>
      <c r="P109" t="s">
        <v>1046</v>
      </c>
      <c r="Q109" t="s">
        <v>1060</v>
      </c>
    </row>
    <row r="110" spans="1:17">
      <c r="A110" t="s">
        <v>862</v>
      </c>
      <c r="B110">
        <v>136</v>
      </c>
      <c r="C110" t="s">
        <v>869</v>
      </c>
      <c r="D110">
        <v>1</v>
      </c>
      <c r="F110" t="s">
        <v>876</v>
      </c>
      <c r="P110" t="s">
        <v>1047</v>
      </c>
      <c r="Q110" t="s">
        <v>1060</v>
      </c>
    </row>
    <row r="111" spans="1:17">
      <c r="A111" t="s">
        <v>232</v>
      </c>
      <c r="B111">
        <v>136</v>
      </c>
      <c r="C111" t="s">
        <v>869</v>
      </c>
      <c r="D111">
        <v>1</v>
      </c>
      <c r="F111" t="s">
        <v>883</v>
      </c>
      <c r="P111" t="s">
        <v>1048</v>
      </c>
      <c r="Q111" t="s">
        <v>1060</v>
      </c>
    </row>
    <row r="112" spans="1:17">
      <c r="A112" t="s">
        <v>863</v>
      </c>
      <c r="B112">
        <v>137</v>
      </c>
      <c r="C112" t="s">
        <v>869</v>
      </c>
      <c r="D112">
        <v>1</v>
      </c>
      <c r="F112" t="s">
        <v>876</v>
      </c>
      <c r="P112" t="s">
        <v>1049</v>
      </c>
      <c r="Q112" t="s">
        <v>1060</v>
      </c>
    </row>
    <row r="113" spans="1:17">
      <c r="A113" t="s">
        <v>864</v>
      </c>
      <c r="B113">
        <v>138</v>
      </c>
      <c r="C113" t="s">
        <v>869</v>
      </c>
      <c r="D113">
        <v>1</v>
      </c>
      <c r="F113" t="s">
        <v>876</v>
      </c>
      <c r="L113" t="s">
        <v>934</v>
      </c>
      <c r="P113" t="s">
        <v>1050</v>
      </c>
      <c r="Q113" t="s">
        <v>1064</v>
      </c>
    </row>
    <row r="114" spans="1:17">
      <c r="A114" t="s">
        <v>865</v>
      </c>
      <c r="B114">
        <v>139</v>
      </c>
      <c r="C114" t="s">
        <v>873</v>
      </c>
      <c r="F114" t="s">
        <v>882</v>
      </c>
      <c r="L114" t="s">
        <v>934</v>
      </c>
      <c r="P114" t="s">
        <v>1051</v>
      </c>
      <c r="Q114" t="s">
        <v>1060</v>
      </c>
    </row>
    <row r="115" spans="1:17">
      <c r="A115" t="s">
        <v>233</v>
      </c>
      <c r="B115">
        <v>140</v>
      </c>
      <c r="C115" t="s">
        <v>874</v>
      </c>
      <c r="D115">
        <v>1</v>
      </c>
      <c r="F115" t="s">
        <v>876</v>
      </c>
      <c r="K115" t="s">
        <v>909</v>
      </c>
      <c r="M115" t="s">
        <v>937</v>
      </c>
      <c r="P115" t="s">
        <v>1052</v>
      </c>
      <c r="Q115" t="s">
        <v>1060</v>
      </c>
    </row>
    <row r="116" spans="1:17">
      <c r="A116" t="s">
        <v>179</v>
      </c>
      <c r="B116">
        <v>141</v>
      </c>
      <c r="C116" t="s">
        <v>874</v>
      </c>
      <c r="D116">
        <v>1</v>
      </c>
      <c r="F116" t="s">
        <v>876</v>
      </c>
      <c r="M116" t="s">
        <v>938</v>
      </c>
      <c r="P116" t="s">
        <v>1053</v>
      </c>
      <c r="Q116" t="s">
        <v>1060</v>
      </c>
    </row>
    <row r="117" spans="1:17">
      <c r="A117" t="s">
        <v>234</v>
      </c>
      <c r="B117">
        <v>142</v>
      </c>
      <c r="C117" t="s">
        <v>874</v>
      </c>
      <c r="D117">
        <v>1</v>
      </c>
      <c r="F117" t="s">
        <v>876</v>
      </c>
      <c r="M117" t="s">
        <v>938</v>
      </c>
      <c r="P117" t="s">
        <v>1054</v>
      </c>
      <c r="Q117" t="s">
        <v>1064</v>
      </c>
    </row>
    <row r="118" spans="1:17">
      <c r="A118" t="s">
        <v>235</v>
      </c>
      <c r="B118">
        <v>143</v>
      </c>
      <c r="C118" t="s">
        <v>874</v>
      </c>
      <c r="D118">
        <v>1</v>
      </c>
      <c r="F118" t="s">
        <v>876</v>
      </c>
      <c r="P118" t="s">
        <v>1055</v>
      </c>
      <c r="Q118" t="s">
        <v>1060</v>
      </c>
    </row>
    <row r="119" spans="1:17">
      <c r="A119" t="s">
        <v>866</v>
      </c>
      <c r="B119">
        <v>144</v>
      </c>
      <c r="C119" t="s">
        <v>875</v>
      </c>
      <c r="F119" t="s">
        <v>876</v>
      </c>
      <c r="P119" t="s">
        <v>1056</v>
      </c>
      <c r="Q119" t="s">
        <v>1060</v>
      </c>
    </row>
    <row r="120" spans="1:17">
      <c r="A120" t="s">
        <v>867</v>
      </c>
      <c r="B120">
        <v>145</v>
      </c>
      <c r="C120" t="s">
        <v>869</v>
      </c>
      <c r="D120">
        <v>1</v>
      </c>
      <c r="F120" t="s">
        <v>876</v>
      </c>
      <c r="H120" t="s">
        <v>887</v>
      </c>
      <c r="P120" t="s">
        <v>1057</v>
      </c>
      <c r="Q120" t="s">
        <v>1064</v>
      </c>
    </row>
    <row r="121" spans="1:17">
      <c r="A121" t="s">
        <v>236</v>
      </c>
      <c r="B121">
        <v>146</v>
      </c>
      <c r="C121" t="s">
        <v>873</v>
      </c>
      <c r="D121">
        <v>1</v>
      </c>
      <c r="F121" t="s">
        <v>876</v>
      </c>
      <c r="P121" t="s">
        <v>1058</v>
      </c>
      <c r="Q121" t="s">
        <v>1060</v>
      </c>
    </row>
    <row r="122" spans="1:17">
      <c r="A122" t="s">
        <v>167</v>
      </c>
      <c r="K122" t="s">
        <v>909</v>
      </c>
      <c r="P122" t="s">
        <v>1059</v>
      </c>
    </row>
    <row r="138" spans="1:5">
      <c r="A138" t="s">
        <v>868</v>
      </c>
      <c r="D138">
        <v>74</v>
      </c>
      <c r="E138">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cols>
    <col min="1" max="2" width="30.7109375" customWidth="1"/>
  </cols>
  <sheetData>
    <row r="1" spans="1:2">
      <c r="A1" s="3" t="s">
        <v>1069</v>
      </c>
      <c r="B1" s="3" t="s">
        <v>1073</v>
      </c>
    </row>
    <row r="2" spans="1:2">
      <c r="A2" t="s">
        <v>1070</v>
      </c>
      <c r="B2" t="s">
        <v>1074</v>
      </c>
    </row>
    <row r="3" spans="1:2">
      <c r="A3" t="s">
        <v>1071</v>
      </c>
      <c r="B3" t="s">
        <v>1075</v>
      </c>
    </row>
    <row r="4" spans="1:2">
      <c r="A4" t="s">
        <v>1072</v>
      </c>
      <c r="B4" t="s">
        <v>1076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
  <sheetViews>
    <sheetView workbookViewId="0"/>
  </sheetViews>
  <sheetFormatPr defaultRowHeight="15"/>
  <cols>
    <col min="1" max="4" width="20.7109375" customWidth="1"/>
  </cols>
  <sheetData>
    <row r="1" spans="1:4">
      <c r="A1" s="4" t="s">
        <v>1077</v>
      </c>
      <c r="B1" s="4" t="s">
        <v>1078</v>
      </c>
      <c r="C1" s="4" t="s">
        <v>1079</v>
      </c>
      <c r="D1" s="4" t="s">
        <v>1080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t="s">
        <v>1077</v>
      </c>
      <c r="B1" t="s">
        <v>1081</v>
      </c>
      <c r="C1" t="s">
        <v>1082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t="s">
        <v>1083</v>
      </c>
      <c r="B1" t="s">
        <v>1084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TRIAGE MASTER</vt:lpstr>
      <vt:lpstr>RDV Julien</vt:lpstr>
      <vt:lpstr>Guide</vt:lpstr>
      <vt:lpstr>Suivi Appels</vt:lpstr>
      <vt:lpstr>Historique</vt:lpstr>
      <vt:lpstr>Logs</vt:lpstr>
      <vt:lpstr>SOURCES</vt:lpstr>
      <vt:lpstr>ARCHIVES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2026-03-05T00:09:09Z</dcterms:created>
  <dcterms:modified xsi:type="dcterms:W3CDTF">2026-03-05T00:09:09Z</dcterms:modified>
</cp:coreProperties>
</file>